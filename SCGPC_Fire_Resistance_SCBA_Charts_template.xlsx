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829edbc6fd42257/Documents/SRKR/4 th year/4y-2sem CIVIL SRKR/FINAL ^0 SUBMITTING DOC/excel aheet/"/>
    </mc:Choice>
  </mc:AlternateContent>
  <xr:revisionPtr revIDLastSave="15" documentId="11_E37CD2A810E908CFD213524107F00F957E38B1A3" xr6:coauthVersionLast="47" xr6:coauthVersionMax="47" xr10:uidLastSave="{ABDD901C-91EE-45DE-A853-94509F8299D7}"/>
  <bookViews>
    <workbookView xWindow="-108" yWindow="-108" windowWidth="23256" windowHeight="12456" tabRatio="500" xr2:uid="{00000000-000D-0000-FFFF-FFFF00000000}"/>
  </bookViews>
  <sheets>
    <sheet name="0 - Instructions" sheetId="1" r:id="rId1"/>
    <sheet name="1 - Mix Reference" sheetId="2" r:id="rId2"/>
    <sheet name="2 - Raw Data Entry" sheetId="3" r:id="rId3"/>
    <sheet name="3 - Charts &amp; Curves" sheetId="4" r:id="rId4"/>
    <sheet name="4 - Residual Strength Summary" sheetId="5" r:id="rId5"/>
    <sheet name="5 - Mass Loss Summary" sheetId="6" r:id="rId6"/>
    <sheet name="6 - Visual Observations Log" sheetId="7" r:id="rId7"/>
    <sheet name="7 - Schedule &amp; Checklist"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 i="6" l="1"/>
  <c r="G145" i="4" s="1"/>
  <c r="B203" i="4" s="1"/>
  <c r="F5" i="6"/>
  <c r="F145" i="4" s="1"/>
  <c r="B202" i="4" s="1"/>
  <c r="E5" i="6"/>
  <c r="E145" i="4" s="1"/>
  <c r="B201" i="4" s="1"/>
  <c r="D5" i="6"/>
  <c r="D145" i="4" s="1"/>
  <c r="B200" i="4" s="1"/>
  <c r="D186" i="4"/>
  <c r="C186" i="4"/>
  <c r="B186" i="4"/>
  <c r="D185" i="4"/>
  <c r="C185" i="4"/>
  <c r="B185" i="4"/>
  <c r="D184" i="4"/>
  <c r="C184" i="4"/>
  <c r="B184" i="4"/>
  <c r="D183" i="4"/>
  <c r="C183" i="4"/>
  <c r="B183" i="4"/>
  <c r="D182" i="4"/>
  <c r="C182" i="4"/>
  <c r="B182" i="4"/>
  <c r="D181" i="4"/>
  <c r="C181" i="4"/>
  <c r="B181" i="4"/>
  <c r="D180" i="4"/>
  <c r="C180" i="4"/>
  <c r="B180" i="4"/>
  <c r="D179" i="4"/>
  <c r="C179" i="4"/>
  <c r="B179" i="4"/>
  <c r="D178" i="4"/>
  <c r="C178" i="4"/>
  <c r="B178" i="4"/>
  <c r="D177" i="4"/>
  <c r="C177" i="4"/>
  <c r="B177" i="4"/>
  <c r="D176" i="4"/>
  <c r="C176" i="4"/>
  <c r="B176" i="4"/>
  <c r="D175" i="4"/>
  <c r="C175" i="4"/>
  <c r="B175" i="4"/>
  <c r="C171" i="4"/>
  <c r="B171" i="4"/>
  <c r="C170" i="4"/>
  <c r="B170" i="4"/>
  <c r="C169" i="4"/>
  <c r="B169" i="4"/>
  <c r="C168" i="4"/>
  <c r="B168" i="4"/>
  <c r="D167" i="4"/>
  <c r="C167" i="4"/>
  <c r="B167" i="4"/>
  <c r="C166" i="4"/>
  <c r="B166" i="4"/>
  <c r="C165" i="4"/>
  <c r="B165" i="4"/>
  <c r="C164" i="4"/>
  <c r="B164" i="4"/>
  <c r="D163" i="4"/>
  <c r="C163" i="4"/>
  <c r="B163" i="4"/>
  <c r="C162" i="4"/>
  <c r="B162" i="4"/>
  <c r="C161" i="4"/>
  <c r="B161" i="4"/>
  <c r="C160" i="4"/>
  <c r="B160" i="4"/>
  <c r="C156" i="4"/>
  <c r="B156" i="4"/>
  <c r="C155" i="4"/>
  <c r="B155" i="4"/>
  <c r="C154" i="4"/>
  <c r="B154" i="4"/>
  <c r="C153" i="4"/>
  <c r="B153" i="4"/>
  <c r="C152" i="4"/>
  <c r="B152" i="4"/>
  <c r="C151" i="4"/>
  <c r="B151" i="4"/>
  <c r="C150" i="4"/>
  <c r="B150" i="4"/>
  <c r="C149" i="4"/>
  <c r="B149" i="4"/>
  <c r="C148" i="4"/>
  <c r="B148" i="4"/>
  <c r="C147" i="4"/>
  <c r="B147" i="4"/>
  <c r="C146" i="4"/>
  <c r="B146" i="4"/>
  <c r="C145" i="4"/>
  <c r="B145" i="4"/>
  <c r="C141" i="4"/>
  <c r="B141" i="4"/>
  <c r="C140" i="4"/>
  <c r="B140" i="4"/>
  <c r="C139" i="4"/>
  <c r="B139" i="4"/>
  <c r="C138" i="4"/>
  <c r="B138" i="4"/>
  <c r="C137" i="4"/>
  <c r="B137" i="4"/>
  <c r="C136" i="4"/>
  <c r="B136" i="4"/>
  <c r="C135" i="4"/>
  <c r="B135" i="4"/>
  <c r="C134" i="4"/>
  <c r="B134" i="4"/>
  <c r="C133" i="4"/>
  <c r="B133" i="4"/>
  <c r="C132" i="4"/>
  <c r="B132" i="4"/>
  <c r="C131" i="4"/>
  <c r="B131" i="4"/>
  <c r="C130" i="4"/>
  <c r="B130" i="4"/>
  <c r="N148" i="3"/>
  <c r="M148" i="3"/>
  <c r="L148" i="3"/>
  <c r="K148" i="3"/>
  <c r="M147" i="3"/>
  <c r="L147" i="3"/>
  <c r="K147" i="3"/>
  <c r="N147" i="3" s="1"/>
  <c r="O147" i="3" s="1"/>
  <c r="M146" i="3"/>
  <c r="L146" i="3"/>
  <c r="K146" i="3"/>
  <c r="N146" i="3" s="1"/>
  <c r="O145" i="3"/>
  <c r="N145" i="3"/>
  <c r="M145" i="3"/>
  <c r="L145" i="3"/>
  <c r="K145" i="3"/>
  <c r="M144" i="3"/>
  <c r="L144" i="3"/>
  <c r="K144" i="3"/>
  <c r="N144" i="3" s="1"/>
  <c r="O144" i="3" s="1"/>
  <c r="N143" i="3"/>
  <c r="M143" i="3"/>
  <c r="G15" i="6" s="1"/>
  <c r="G155" i="4" s="1"/>
  <c r="L203" i="4" s="1"/>
  <c r="L143" i="3"/>
  <c r="K143" i="3"/>
  <c r="M142" i="3"/>
  <c r="L142" i="3"/>
  <c r="K142" i="3"/>
  <c r="N142" i="3" s="1"/>
  <c r="O142" i="3" s="1"/>
  <c r="M141" i="3"/>
  <c r="G14" i="6" s="1"/>
  <c r="G154" i="4" s="1"/>
  <c r="K203" i="4" s="1"/>
  <c r="L141" i="3"/>
  <c r="K141" i="3"/>
  <c r="N141" i="3" s="1"/>
  <c r="O141" i="3" s="1"/>
  <c r="M140" i="3"/>
  <c r="L140" i="3"/>
  <c r="K140" i="3"/>
  <c r="N140" i="3" s="1"/>
  <c r="M139" i="3"/>
  <c r="L139" i="3"/>
  <c r="K139" i="3"/>
  <c r="N139" i="3" s="1"/>
  <c r="O139" i="3" s="1"/>
  <c r="O138" i="3"/>
  <c r="N138" i="3"/>
  <c r="M138" i="3"/>
  <c r="L138" i="3"/>
  <c r="K138" i="3"/>
  <c r="M137" i="3"/>
  <c r="G13" i="6" s="1"/>
  <c r="G153" i="4" s="1"/>
  <c r="J203" i="4" s="1"/>
  <c r="L137" i="3"/>
  <c r="K137" i="3"/>
  <c r="N137" i="3" s="1"/>
  <c r="N136" i="3"/>
  <c r="O136" i="3" s="1"/>
  <c r="M136" i="3"/>
  <c r="L136" i="3"/>
  <c r="K136" i="3"/>
  <c r="M135" i="3"/>
  <c r="L135" i="3"/>
  <c r="K135" i="3"/>
  <c r="N135" i="3" s="1"/>
  <c r="O135" i="3" s="1"/>
  <c r="M134" i="3"/>
  <c r="G12" i="6" s="1"/>
  <c r="G152" i="4" s="1"/>
  <c r="I203" i="4" s="1"/>
  <c r="L134" i="3"/>
  <c r="K134" i="3"/>
  <c r="N134" i="3" s="1"/>
  <c r="O133" i="3"/>
  <c r="N133" i="3"/>
  <c r="M133" i="3"/>
  <c r="L133" i="3"/>
  <c r="K133" i="3"/>
  <c r="M132" i="3"/>
  <c r="L132" i="3"/>
  <c r="K132" i="3"/>
  <c r="N132" i="3" s="1"/>
  <c r="O132" i="3" s="1"/>
  <c r="N131" i="3"/>
  <c r="M131" i="3"/>
  <c r="G11" i="6" s="1"/>
  <c r="G151" i="4" s="1"/>
  <c r="H203" i="4" s="1"/>
  <c r="L131" i="3"/>
  <c r="K131" i="3"/>
  <c r="M130" i="3"/>
  <c r="L130" i="3"/>
  <c r="K130" i="3"/>
  <c r="N130" i="3" s="1"/>
  <c r="O130" i="3" s="1"/>
  <c r="M129" i="3"/>
  <c r="L129" i="3"/>
  <c r="K129" i="3"/>
  <c r="N129" i="3" s="1"/>
  <c r="O129" i="3" s="1"/>
  <c r="M128" i="3"/>
  <c r="G10" i="6" s="1"/>
  <c r="G150" i="4" s="1"/>
  <c r="G203" i="4" s="1"/>
  <c r="L128" i="3"/>
  <c r="K128" i="3"/>
  <c r="N128" i="3" s="1"/>
  <c r="M127" i="3"/>
  <c r="L127" i="3"/>
  <c r="K127" i="3"/>
  <c r="N127" i="3" s="1"/>
  <c r="O127" i="3" s="1"/>
  <c r="N126" i="3"/>
  <c r="O126" i="3" s="1"/>
  <c r="M126" i="3"/>
  <c r="L126" i="3"/>
  <c r="K126" i="3"/>
  <c r="M125" i="3"/>
  <c r="G9" i="6" s="1"/>
  <c r="G149" i="4" s="1"/>
  <c r="F203" i="4" s="1"/>
  <c r="L125" i="3"/>
  <c r="K125" i="3"/>
  <c r="N125" i="3" s="1"/>
  <c r="N124" i="3"/>
  <c r="M124" i="3"/>
  <c r="L124" i="3"/>
  <c r="K124" i="3"/>
  <c r="N123" i="3"/>
  <c r="O123" i="3" s="1"/>
  <c r="M123" i="3"/>
  <c r="L123" i="3"/>
  <c r="K123" i="3"/>
  <c r="M122" i="3"/>
  <c r="L122" i="3"/>
  <c r="K122" i="3"/>
  <c r="N122" i="3" s="1"/>
  <c r="O121" i="3"/>
  <c r="N121" i="3"/>
  <c r="M121" i="3"/>
  <c r="L121" i="3"/>
  <c r="K121" i="3"/>
  <c r="M120" i="3"/>
  <c r="L120" i="3"/>
  <c r="K120" i="3"/>
  <c r="N120" i="3" s="1"/>
  <c r="O120" i="3" s="1"/>
  <c r="O119" i="3"/>
  <c r="G7" i="5" s="1"/>
  <c r="G132" i="4" s="1"/>
  <c r="N119" i="3"/>
  <c r="M119" i="3"/>
  <c r="G7" i="6" s="1"/>
  <c r="G147" i="4" s="1"/>
  <c r="D203" i="4" s="1"/>
  <c r="L119" i="3"/>
  <c r="K119" i="3"/>
  <c r="M118" i="3"/>
  <c r="L118" i="3"/>
  <c r="K118" i="3"/>
  <c r="N118" i="3" s="1"/>
  <c r="O118" i="3" s="1"/>
  <c r="M117" i="3"/>
  <c r="L117" i="3"/>
  <c r="K117" i="3"/>
  <c r="N117" i="3" s="1"/>
  <c r="O117" i="3" s="1"/>
  <c r="M116" i="3"/>
  <c r="L116" i="3"/>
  <c r="K116" i="3"/>
  <c r="N116" i="3" s="1"/>
  <c r="M115" i="3"/>
  <c r="L115" i="3"/>
  <c r="K115" i="3"/>
  <c r="N115" i="3" s="1"/>
  <c r="O115" i="3" s="1"/>
  <c r="N114" i="3"/>
  <c r="O114" i="3" s="1"/>
  <c r="M114" i="3"/>
  <c r="L114" i="3"/>
  <c r="K114" i="3"/>
  <c r="M113" i="3"/>
  <c r="L113" i="3"/>
  <c r="K113" i="3"/>
  <c r="N113" i="3" s="1"/>
  <c r="N112" i="3"/>
  <c r="M112" i="3"/>
  <c r="L112" i="3"/>
  <c r="K112" i="3"/>
  <c r="N111" i="3"/>
  <c r="O111" i="3" s="1"/>
  <c r="M111" i="3"/>
  <c r="L111" i="3"/>
  <c r="K111" i="3"/>
  <c r="M110" i="3"/>
  <c r="F16" i="6" s="1"/>
  <c r="F156" i="4" s="1"/>
  <c r="M202" i="4" s="1"/>
  <c r="L110" i="3"/>
  <c r="K110" i="3"/>
  <c r="N110" i="3" s="1"/>
  <c r="O109" i="3"/>
  <c r="N109" i="3"/>
  <c r="M109" i="3"/>
  <c r="L109" i="3"/>
  <c r="K109" i="3"/>
  <c r="M108" i="3"/>
  <c r="L108" i="3"/>
  <c r="K108" i="3"/>
  <c r="N108" i="3" s="1"/>
  <c r="O108" i="3" s="1"/>
  <c r="O107" i="3"/>
  <c r="F15" i="5" s="1"/>
  <c r="F140" i="4" s="1"/>
  <c r="N107" i="3"/>
  <c r="M107" i="3"/>
  <c r="F15" i="6" s="1"/>
  <c r="F155" i="4" s="1"/>
  <c r="L202" i="4" s="1"/>
  <c r="L107" i="3"/>
  <c r="K107" i="3"/>
  <c r="M106" i="3"/>
  <c r="L106" i="3"/>
  <c r="K106" i="3"/>
  <c r="N106" i="3" s="1"/>
  <c r="O106" i="3" s="1"/>
  <c r="M105" i="3"/>
  <c r="F14" i="6" s="1"/>
  <c r="F154" i="4" s="1"/>
  <c r="K202" i="4" s="1"/>
  <c r="L105" i="3"/>
  <c r="K105" i="3"/>
  <c r="N105" i="3" s="1"/>
  <c r="O105" i="3" s="1"/>
  <c r="M104" i="3"/>
  <c r="L104" i="3"/>
  <c r="K104" i="3"/>
  <c r="N104" i="3" s="1"/>
  <c r="M103" i="3"/>
  <c r="L103" i="3"/>
  <c r="K103" i="3"/>
  <c r="N103" i="3" s="1"/>
  <c r="O103" i="3" s="1"/>
  <c r="N102" i="3"/>
  <c r="O102" i="3" s="1"/>
  <c r="M102" i="3"/>
  <c r="L102" i="3"/>
  <c r="K102" i="3"/>
  <c r="M101" i="3"/>
  <c r="F13" i="6" s="1"/>
  <c r="F153" i="4" s="1"/>
  <c r="J202" i="4" s="1"/>
  <c r="L101" i="3"/>
  <c r="K101" i="3"/>
  <c r="N101" i="3" s="1"/>
  <c r="N100" i="3"/>
  <c r="O100" i="3" s="1"/>
  <c r="M100" i="3"/>
  <c r="L100" i="3"/>
  <c r="K100" i="3"/>
  <c r="N99" i="3"/>
  <c r="O99" i="3" s="1"/>
  <c r="M99" i="3"/>
  <c r="L99" i="3"/>
  <c r="K99" i="3"/>
  <c r="M98" i="3"/>
  <c r="L98" i="3"/>
  <c r="K98" i="3"/>
  <c r="N98" i="3" s="1"/>
  <c r="O97" i="3"/>
  <c r="N97" i="3"/>
  <c r="M97" i="3"/>
  <c r="L97" i="3"/>
  <c r="K97" i="3"/>
  <c r="M96" i="3"/>
  <c r="L96" i="3"/>
  <c r="K96" i="3"/>
  <c r="N96" i="3" s="1"/>
  <c r="O96" i="3" s="1"/>
  <c r="N95" i="3"/>
  <c r="F166" i="4" s="1"/>
  <c r="M95" i="3"/>
  <c r="F11" i="6" s="1"/>
  <c r="F151" i="4" s="1"/>
  <c r="H202" i="4" s="1"/>
  <c r="L95" i="3"/>
  <c r="K95" i="3"/>
  <c r="O94" i="3"/>
  <c r="N94" i="3"/>
  <c r="M94" i="3"/>
  <c r="L94" i="3"/>
  <c r="K94" i="3"/>
  <c r="M93" i="3"/>
  <c r="L93" i="3"/>
  <c r="K93" i="3"/>
  <c r="N93" i="3" s="1"/>
  <c r="M92" i="3"/>
  <c r="F10" i="6" s="1"/>
  <c r="F150" i="4" s="1"/>
  <c r="G202" i="4" s="1"/>
  <c r="L92" i="3"/>
  <c r="K92" i="3"/>
  <c r="N92" i="3" s="1"/>
  <c r="M91" i="3"/>
  <c r="L91" i="3"/>
  <c r="K91" i="3"/>
  <c r="N91" i="3" s="1"/>
  <c r="O91" i="3" s="1"/>
  <c r="N90" i="3"/>
  <c r="O90" i="3" s="1"/>
  <c r="M90" i="3"/>
  <c r="L90" i="3"/>
  <c r="K90" i="3"/>
  <c r="M89" i="3"/>
  <c r="F9" i="6" s="1"/>
  <c r="F149" i="4" s="1"/>
  <c r="F202" i="4" s="1"/>
  <c r="L89" i="3"/>
  <c r="K89" i="3"/>
  <c r="N89" i="3" s="1"/>
  <c r="N88" i="3"/>
  <c r="O88" i="3" s="1"/>
  <c r="M88" i="3"/>
  <c r="F8" i="6" s="1"/>
  <c r="F148" i="4" s="1"/>
  <c r="E202" i="4" s="1"/>
  <c r="L88" i="3"/>
  <c r="K88" i="3"/>
  <c r="N87" i="3"/>
  <c r="O87" i="3" s="1"/>
  <c r="M87" i="3"/>
  <c r="L87" i="3"/>
  <c r="K87" i="3"/>
  <c r="M86" i="3"/>
  <c r="L86" i="3"/>
  <c r="K86" i="3"/>
  <c r="N86" i="3" s="1"/>
  <c r="O85" i="3"/>
  <c r="N85" i="3"/>
  <c r="M85" i="3"/>
  <c r="L85" i="3"/>
  <c r="K85" i="3"/>
  <c r="M84" i="3"/>
  <c r="L84" i="3"/>
  <c r="K84" i="3"/>
  <c r="N84" i="3" s="1"/>
  <c r="O84" i="3" s="1"/>
  <c r="N83" i="3"/>
  <c r="F162" i="4" s="1"/>
  <c r="M83" i="3"/>
  <c r="F7" i="6" s="1"/>
  <c r="F147" i="4" s="1"/>
  <c r="D202" i="4" s="1"/>
  <c r="L83" i="3"/>
  <c r="K83" i="3"/>
  <c r="M82" i="3"/>
  <c r="L82" i="3"/>
  <c r="K82" i="3"/>
  <c r="N82" i="3" s="1"/>
  <c r="O82" i="3" s="1"/>
  <c r="M81" i="3"/>
  <c r="L81" i="3"/>
  <c r="K81" i="3"/>
  <c r="N81" i="3" s="1"/>
  <c r="O81" i="3" s="1"/>
  <c r="M80" i="3"/>
  <c r="L80" i="3"/>
  <c r="K80" i="3"/>
  <c r="N80" i="3" s="1"/>
  <c r="M79" i="3"/>
  <c r="L79" i="3"/>
  <c r="K79" i="3"/>
  <c r="N79" i="3" s="1"/>
  <c r="O79" i="3" s="1"/>
  <c r="N78" i="3"/>
  <c r="O78" i="3" s="1"/>
  <c r="M78" i="3"/>
  <c r="L78" i="3"/>
  <c r="K78" i="3"/>
  <c r="M77" i="3"/>
  <c r="L77" i="3"/>
  <c r="K77" i="3"/>
  <c r="N77" i="3" s="1"/>
  <c r="N76" i="3"/>
  <c r="M76" i="3"/>
  <c r="L76" i="3"/>
  <c r="K76" i="3"/>
  <c r="N75" i="3"/>
  <c r="O75" i="3" s="1"/>
  <c r="M75" i="3"/>
  <c r="L75" i="3"/>
  <c r="K75" i="3"/>
  <c r="M74" i="3"/>
  <c r="L74" i="3"/>
  <c r="K74" i="3"/>
  <c r="N74" i="3" s="1"/>
  <c r="E171" i="4" s="1"/>
  <c r="O73" i="3"/>
  <c r="N73" i="3"/>
  <c r="M73" i="3"/>
  <c r="L73" i="3"/>
  <c r="K73" i="3"/>
  <c r="M72" i="3"/>
  <c r="L72" i="3"/>
  <c r="K72" i="3"/>
  <c r="N72" i="3" s="1"/>
  <c r="O72" i="3" s="1"/>
  <c r="O71" i="3"/>
  <c r="E15" i="5" s="1"/>
  <c r="E140" i="4" s="1"/>
  <c r="N71" i="3"/>
  <c r="M71" i="3"/>
  <c r="E15" i="6" s="1"/>
  <c r="E155" i="4" s="1"/>
  <c r="L201" i="4" s="1"/>
  <c r="L71" i="3"/>
  <c r="K71" i="3"/>
  <c r="O70" i="3"/>
  <c r="N70" i="3"/>
  <c r="M70" i="3"/>
  <c r="L70" i="3"/>
  <c r="K70" i="3"/>
  <c r="M69" i="3"/>
  <c r="E14" i="6" s="1"/>
  <c r="E154" i="4" s="1"/>
  <c r="K201" i="4" s="1"/>
  <c r="L69" i="3"/>
  <c r="K69" i="3"/>
  <c r="N69" i="3" s="1"/>
  <c r="O69" i="3" s="1"/>
  <c r="M68" i="3"/>
  <c r="L68" i="3"/>
  <c r="K68" i="3"/>
  <c r="N68" i="3" s="1"/>
  <c r="O68" i="3" s="1"/>
  <c r="E14" i="5" s="1"/>
  <c r="E139" i="4" s="1"/>
  <c r="M67" i="3"/>
  <c r="L67" i="3"/>
  <c r="K67" i="3"/>
  <c r="N67" i="3" s="1"/>
  <c r="O67" i="3" s="1"/>
  <c r="N66" i="3"/>
  <c r="O66" i="3" s="1"/>
  <c r="M66" i="3"/>
  <c r="L66" i="3"/>
  <c r="K66" i="3"/>
  <c r="M65" i="3"/>
  <c r="E13" i="6" s="1"/>
  <c r="E153" i="4" s="1"/>
  <c r="J201" i="4" s="1"/>
  <c r="L65" i="3"/>
  <c r="K65" i="3"/>
  <c r="N65" i="3" s="1"/>
  <c r="N64" i="3"/>
  <c r="M64" i="3"/>
  <c r="L64" i="3"/>
  <c r="K64" i="3"/>
  <c r="N63" i="3"/>
  <c r="O63" i="3" s="1"/>
  <c r="M63" i="3"/>
  <c r="L63" i="3"/>
  <c r="K63" i="3"/>
  <c r="M62" i="3"/>
  <c r="E12" i="6" s="1"/>
  <c r="E152" i="4" s="1"/>
  <c r="I201" i="4" s="1"/>
  <c r="L62" i="3"/>
  <c r="K62" i="3"/>
  <c r="N62" i="3" s="1"/>
  <c r="E167" i="4" s="1"/>
  <c r="O61" i="3"/>
  <c r="N61" i="3"/>
  <c r="M61" i="3"/>
  <c r="L61" i="3"/>
  <c r="K61" i="3"/>
  <c r="M60" i="3"/>
  <c r="L60" i="3"/>
  <c r="K60" i="3"/>
  <c r="N60" i="3" s="1"/>
  <c r="O60" i="3" s="1"/>
  <c r="O59" i="3"/>
  <c r="E11" i="5" s="1"/>
  <c r="E136" i="4" s="1"/>
  <c r="N59" i="3"/>
  <c r="M59" i="3"/>
  <c r="E11" i="6" s="1"/>
  <c r="E151" i="4" s="1"/>
  <c r="H201" i="4" s="1"/>
  <c r="L59" i="3"/>
  <c r="K59" i="3"/>
  <c r="O58" i="3"/>
  <c r="N58" i="3"/>
  <c r="M58" i="3"/>
  <c r="L58" i="3"/>
  <c r="K58" i="3"/>
  <c r="M57" i="3"/>
  <c r="L57" i="3"/>
  <c r="K57" i="3"/>
  <c r="N57" i="3" s="1"/>
  <c r="O57" i="3" s="1"/>
  <c r="M56" i="3"/>
  <c r="L56" i="3"/>
  <c r="K56" i="3"/>
  <c r="N56" i="3" s="1"/>
  <c r="O56" i="3" s="1"/>
  <c r="M55" i="3"/>
  <c r="L55" i="3"/>
  <c r="K55" i="3"/>
  <c r="N55" i="3" s="1"/>
  <c r="O55" i="3" s="1"/>
  <c r="N54" i="3"/>
  <c r="O54" i="3" s="1"/>
  <c r="M54" i="3"/>
  <c r="L54" i="3"/>
  <c r="K54" i="3"/>
  <c r="M53" i="3"/>
  <c r="E9" i="6" s="1"/>
  <c r="E149" i="4" s="1"/>
  <c r="F201" i="4" s="1"/>
  <c r="L53" i="3"/>
  <c r="K53" i="3"/>
  <c r="N53" i="3" s="1"/>
  <c r="N52" i="3"/>
  <c r="O52" i="3" s="1"/>
  <c r="M52" i="3"/>
  <c r="E8" i="6" s="1"/>
  <c r="E148" i="4" s="1"/>
  <c r="E201" i="4" s="1"/>
  <c r="L52" i="3"/>
  <c r="K52" i="3"/>
  <c r="N51" i="3"/>
  <c r="O51" i="3" s="1"/>
  <c r="M51" i="3"/>
  <c r="L51" i="3"/>
  <c r="K51" i="3"/>
  <c r="M50" i="3"/>
  <c r="L50" i="3"/>
  <c r="K50" i="3"/>
  <c r="N50" i="3" s="1"/>
  <c r="O49" i="3"/>
  <c r="M49" i="3"/>
  <c r="L49" i="3"/>
  <c r="K49" i="3"/>
  <c r="N49" i="3" s="1"/>
  <c r="M48" i="3"/>
  <c r="L48" i="3"/>
  <c r="K48" i="3"/>
  <c r="N48" i="3" s="1"/>
  <c r="O48" i="3" s="1"/>
  <c r="N47" i="3"/>
  <c r="E162" i="4" s="1"/>
  <c r="M47" i="3"/>
  <c r="E7" i="6" s="1"/>
  <c r="E147" i="4" s="1"/>
  <c r="D201" i="4" s="1"/>
  <c r="L47" i="3"/>
  <c r="K47" i="3"/>
  <c r="O46" i="3"/>
  <c r="N46" i="3"/>
  <c r="M46" i="3"/>
  <c r="L46" i="3"/>
  <c r="K46" i="3"/>
  <c r="M45" i="3"/>
  <c r="L45" i="3"/>
  <c r="K45" i="3"/>
  <c r="N45" i="3" s="1"/>
  <c r="O45" i="3" s="1"/>
  <c r="M44" i="3"/>
  <c r="E6" i="6" s="1"/>
  <c r="E146" i="4" s="1"/>
  <c r="C201" i="4" s="1"/>
  <c r="L44" i="3"/>
  <c r="K44" i="3"/>
  <c r="N44" i="3" s="1"/>
  <c r="O44" i="3" s="1"/>
  <c r="E6" i="5" s="1"/>
  <c r="E131" i="4" s="1"/>
  <c r="M43" i="3"/>
  <c r="L43" i="3"/>
  <c r="K43" i="3"/>
  <c r="N43" i="3" s="1"/>
  <c r="O43" i="3" s="1"/>
  <c r="O42" i="3"/>
  <c r="N42" i="3"/>
  <c r="M42" i="3"/>
  <c r="L42" i="3"/>
  <c r="K42" i="3"/>
  <c r="M41" i="3"/>
  <c r="L41" i="3"/>
  <c r="K41" i="3"/>
  <c r="N41" i="3" s="1"/>
  <c r="N40" i="3"/>
  <c r="O40" i="3" s="1"/>
  <c r="M40" i="3"/>
  <c r="L40" i="3"/>
  <c r="K40" i="3"/>
  <c r="N39" i="3"/>
  <c r="O39" i="3" s="1"/>
  <c r="M39" i="3"/>
  <c r="L39" i="3"/>
  <c r="K39" i="3"/>
  <c r="M38" i="3"/>
  <c r="L38" i="3"/>
  <c r="K38" i="3"/>
  <c r="N38" i="3" s="1"/>
  <c r="O38" i="3" s="1"/>
  <c r="M37" i="3"/>
  <c r="L37" i="3"/>
  <c r="K37" i="3"/>
  <c r="N37" i="3" s="1"/>
  <c r="O37" i="3" s="1"/>
  <c r="M36" i="3"/>
  <c r="L36" i="3"/>
  <c r="K36" i="3"/>
  <c r="N36" i="3" s="1"/>
  <c r="O36" i="3" s="1"/>
  <c r="N35" i="3"/>
  <c r="M35" i="3"/>
  <c r="D15" i="6" s="1"/>
  <c r="D155" i="4" s="1"/>
  <c r="L200" i="4" s="1"/>
  <c r="L35" i="3"/>
  <c r="K35" i="3"/>
  <c r="O34" i="3"/>
  <c r="N34" i="3"/>
  <c r="M34" i="3"/>
  <c r="L34" i="3"/>
  <c r="K34" i="3"/>
  <c r="M33" i="3"/>
  <c r="D14" i="6" s="1"/>
  <c r="D154" i="4" s="1"/>
  <c r="K200" i="4" s="1"/>
  <c r="L33" i="3"/>
  <c r="K33" i="3"/>
  <c r="N33" i="3" s="1"/>
  <c r="O33" i="3" s="1"/>
  <c r="M32" i="3"/>
  <c r="L32" i="3"/>
  <c r="K32" i="3"/>
  <c r="N32" i="3" s="1"/>
  <c r="O32" i="3" s="1"/>
  <c r="D14" i="5" s="1"/>
  <c r="D139" i="4" s="1"/>
  <c r="M31" i="3"/>
  <c r="L31" i="3"/>
  <c r="K31" i="3"/>
  <c r="N31" i="3" s="1"/>
  <c r="O31" i="3" s="1"/>
  <c r="N30" i="3"/>
  <c r="O30" i="3" s="1"/>
  <c r="M30" i="3"/>
  <c r="L30" i="3"/>
  <c r="K30" i="3"/>
  <c r="M29" i="3"/>
  <c r="D13" i="6" s="1"/>
  <c r="D153" i="4" s="1"/>
  <c r="J200" i="4" s="1"/>
  <c r="L29" i="3"/>
  <c r="K29" i="3"/>
  <c r="N29" i="3" s="1"/>
  <c r="N28" i="3"/>
  <c r="M28" i="3"/>
  <c r="L28" i="3"/>
  <c r="K28" i="3"/>
  <c r="N27" i="3"/>
  <c r="O27" i="3" s="1"/>
  <c r="M27" i="3"/>
  <c r="L27" i="3"/>
  <c r="K27" i="3"/>
  <c r="M26" i="3"/>
  <c r="L26" i="3"/>
  <c r="K26" i="3"/>
  <c r="N26" i="3" s="1"/>
  <c r="M25" i="3"/>
  <c r="L25" i="3"/>
  <c r="K25" i="3"/>
  <c r="N25" i="3" s="1"/>
  <c r="O25" i="3" s="1"/>
  <c r="M24" i="3"/>
  <c r="L24" i="3"/>
  <c r="K24" i="3"/>
  <c r="N24" i="3" s="1"/>
  <c r="O24" i="3" s="1"/>
  <c r="N23" i="3"/>
  <c r="M23" i="3"/>
  <c r="D11" i="6" s="1"/>
  <c r="D151" i="4" s="1"/>
  <c r="H200" i="4" s="1"/>
  <c r="L23" i="3"/>
  <c r="K23" i="3"/>
  <c r="O22" i="3"/>
  <c r="N22" i="3"/>
  <c r="M22" i="3"/>
  <c r="L22" i="3"/>
  <c r="K22" i="3"/>
  <c r="M21" i="3"/>
  <c r="L21" i="3"/>
  <c r="K21" i="3"/>
  <c r="N21" i="3" s="1"/>
  <c r="M20" i="3"/>
  <c r="L20" i="3"/>
  <c r="K20" i="3"/>
  <c r="N20" i="3" s="1"/>
  <c r="O20" i="3" s="1"/>
  <c r="M19" i="3"/>
  <c r="D9" i="6" s="1"/>
  <c r="D149" i="4" s="1"/>
  <c r="F200" i="4" s="1"/>
  <c r="L19" i="3"/>
  <c r="K19" i="3"/>
  <c r="N19" i="3" s="1"/>
  <c r="O19" i="3" s="1"/>
  <c r="N18" i="3"/>
  <c r="O18" i="3" s="1"/>
  <c r="M18" i="3"/>
  <c r="L18" i="3"/>
  <c r="K18" i="3"/>
  <c r="M17" i="3"/>
  <c r="L17" i="3"/>
  <c r="K17" i="3"/>
  <c r="N17" i="3" s="1"/>
  <c r="N16" i="3"/>
  <c r="M16" i="3"/>
  <c r="D8" i="6" s="1"/>
  <c r="D148" i="4" s="1"/>
  <c r="E200" i="4" s="1"/>
  <c r="L16" i="3"/>
  <c r="K16" i="3"/>
  <c r="N15" i="3"/>
  <c r="O15" i="3" s="1"/>
  <c r="M15" i="3"/>
  <c r="L15" i="3"/>
  <c r="K15" i="3"/>
  <c r="M14" i="3"/>
  <c r="L14" i="3"/>
  <c r="K14" i="3"/>
  <c r="N14" i="3" s="1"/>
  <c r="O14" i="3" s="1"/>
  <c r="M13" i="3"/>
  <c r="L13" i="3"/>
  <c r="K13" i="3"/>
  <c r="N13" i="3" s="1"/>
  <c r="O13" i="3" s="1"/>
  <c r="M12" i="3"/>
  <c r="L12" i="3"/>
  <c r="K12" i="3"/>
  <c r="N12" i="3" s="1"/>
  <c r="O12" i="3" s="1"/>
  <c r="O11" i="3"/>
  <c r="N11" i="3"/>
  <c r="M11" i="3"/>
  <c r="D7" i="6" s="1"/>
  <c r="D147" i="4" s="1"/>
  <c r="D200" i="4" s="1"/>
  <c r="L11" i="3"/>
  <c r="K11" i="3"/>
  <c r="O10" i="3"/>
  <c r="N10" i="3"/>
  <c r="M10" i="3"/>
  <c r="L10" i="3"/>
  <c r="K10" i="3"/>
  <c r="M9" i="3"/>
  <c r="D6" i="6" s="1"/>
  <c r="D146" i="4" s="1"/>
  <c r="C200" i="4" s="1"/>
  <c r="L9" i="3"/>
  <c r="K9" i="3"/>
  <c r="N9" i="3" s="1"/>
  <c r="O9" i="3" s="1"/>
  <c r="M8" i="3"/>
  <c r="L8" i="3"/>
  <c r="K8" i="3"/>
  <c r="N8" i="3" s="1"/>
  <c r="O8" i="3" s="1"/>
  <c r="M7" i="3"/>
  <c r="L7" i="3"/>
  <c r="K7" i="3"/>
  <c r="N7" i="3" s="1"/>
  <c r="O7" i="3" s="1"/>
  <c r="N6" i="3"/>
  <c r="O6" i="3" s="1"/>
  <c r="M6" i="3"/>
  <c r="L6" i="3"/>
  <c r="K6" i="3"/>
  <c r="M5" i="3"/>
  <c r="L5" i="3"/>
  <c r="K5" i="3"/>
  <c r="N5" i="3" s="1"/>
  <c r="B220" i="4" l="1"/>
  <c r="K191" i="4"/>
  <c r="H192" i="4"/>
  <c r="C217" i="4"/>
  <c r="C209" i="4"/>
  <c r="C192" i="4"/>
  <c r="C220" i="4"/>
  <c r="K192" i="4"/>
  <c r="O53" i="3"/>
  <c r="E9" i="5" s="1"/>
  <c r="E134" i="4" s="1"/>
  <c r="E164" i="4"/>
  <c r="G168" i="4"/>
  <c r="O137" i="3"/>
  <c r="G13" i="5" s="1"/>
  <c r="G138" i="4" s="1"/>
  <c r="O5" i="3"/>
  <c r="D5" i="5" s="1"/>
  <c r="D130" i="4" s="1"/>
  <c r="D160" i="4"/>
  <c r="C221" i="4"/>
  <c r="L192" i="4"/>
  <c r="D162" i="4"/>
  <c r="O50" i="3"/>
  <c r="E8" i="5" s="1"/>
  <c r="E133" i="4" s="1"/>
  <c r="E10" i="6"/>
  <c r="E150" i="4" s="1"/>
  <c r="G201" i="4" s="1"/>
  <c r="E166" i="4"/>
  <c r="O104" i="3"/>
  <c r="F14" i="5" s="1"/>
  <c r="F139" i="4" s="1"/>
  <c r="F169" i="4"/>
  <c r="F170" i="4"/>
  <c r="D16" i="5"/>
  <c r="D141" i="4" s="1"/>
  <c r="O148" i="3"/>
  <c r="E163" i="4"/>
  <c r="O134" i="3"/>
  <c r="G12" i="5" s="1"/>
  <c r="G137" i="4" s="1"/>
  <c r="G167" i="4"/>
  <c r="O41" i="3"/>
  <c r="E5" i="5" s="1"/>
  <c r="E130" i="4" s="1"/>
  <c r="E160" i="4"/>
  <c r="O93" i="3"/>
  <c r="O95" i="3"/>
  <c r="F11" i="5" s="1"/>
  <c r="F136" i="4" s="1"/>
  <c r="G164" i="4"/>
  <c r="O125" i="3"/>
  <c r="G9" i="5" s="1"/>
  <c r="G134" i="4" s="1"/>
  <c r="F167" i="4"/>
  <c r="O98" i="3"/>
  <c r="F12" i="5" s="1"/>
  <c r="F137" i="4" s="1"/>
  <c r="D171" i="4"/>
  <c r="O28" i="3"/>
  <c r="O47" i="3"/>
  <c r="E7" i="5" s="1"/>
  <c r="E132" i="4" s="1"/>
  <c r="O86" i="3"/>
  <c r="F8" i="5" s="1"/>
  <c r="F133" i="4" s="1"/>
  <c r="F163" i="4"/>
  <c r="O29" i="3"/>
  <c r="D13" i="5" s="1"/>
  <c r="D138" i="4" s="1"/>
  <c r="D168" i="4"/>
  <c r="O26" i="3"/>
  <c r="D12" i="5" s="1"/>
  <c r="D137" i="4" s="1"/>
  <c r="D170" i="4"/>
  <c r="O76" i="3"/>
  <c r="O80" i="3"/>
  <c r="F6" i="5" s="1"/>
  <c r="F131" i="4" s="1"/>
  <c r="F161" i="4"/>
  <c r="G163" i="4"/>
  <c r="O122" i="3"/>
  <c r="F164" i="4"/>
  <c r="O89" i="3"/>
  <c r="F9" i="5" s="1"/>
  <c r="F134" i="4" s="1"/>
  <c r="O128" i="3"/>
  <c r="G10" i="5" s="1"/>
  <c r="G135" i="4" s="1"/>
  <c r="G165" i="4"/>
  <c r="O16" i="3"/>
  <c r="D8" i="5" s="1"/>
  <c r="D133" i="4" s="1"/>
  <c r="D10" i="5"/>
  <c r="D135" i="4" s="1"/>
  <c r="O35" i="3"/>
  <c r="D15" i="5" s="1"/>
  <c r="D140" i="4" s="1"/>
  <c r="F160" i="4"/>
  <c r="O77" i="3"/>
  <c r="F5" i="5" s="1"/>
  <c r="F130" i="4" s="1"/>
  <c r="O83" i="3"/>
  <c r="F7" i="5" s="1"/>
  <c r="F132" i="4" s="1"/>
  <c r="G171" i="4"/>
  <c r="O146" i="3"/>
  <c r="D12" i="6"/>
  <c r="D152" i="4" s="1"/>
  <c r="I200" i="4" s="1"/>
  <c r="O64" i="3"/>
  <c r="O74" i="3"/>
  <c r="F6" i="6"/>
  <c r="F146" i="4" s="1"/>
  <c r="C202" i="4" s="1"/>
  <c r="O112" i="3"/>
  <c r="O116" i="3"/>
  <c r="G6" i="5" s="1"/>
  <c r="G131" i="4" s="1"/>
  <c r="G161" i="4"/>
  <c r="G162" i="4"/>
  <c r="G8" i="6"/>
  <c r="G148" i="4" s="1"/>
  <c r="E203" i="4" s="1"/>
  <c r="L193" i="4"/>
  <c r="D221" i="4"/>
  <c r="O92" i="3"/>
  <c r="F165" i="4"/>
  <c r="F12" i="6"/>
  <c r="F152" i="4" s="1"/>
  <c r="I202" i="4" s="1"/>
  <c r="G166" i="4"/>
  <c r="O131" i="3"/>
  <c r="G11" i="5" s="1"/>
  <c r="G136" i="4" s="1"/>
  <c r="D16" i="6"/>
  <c r="D156" i="4" s="1"/>
  <c r="M200" i="4" s="1"/>
  <c r="D166" i="4"/>
  <c r="O65" i="3"/>
  <c r="E13" i="5" s="1"/>
  <c r="E138" i="4" s="1"/>
  <c r="E168" i="4"/>
  <c r="G160" i="4"/>
  <c r="O113" i="3"/>
  <c r="G5" i="5" s="1"/>
  <c r="G130" i="4" s="1"/>
  <c r="E210" i="4"/>
  <c r="D194" i="4"/>
  <c r="G16" i="6"/>
  <c r="G156" i="4" s="1"/>
  <c r="M203" i="4" s="1"/>
  <c r="D161" i="4"/>
  <c r="D165" i="4"/>
  <c r="D169" i="4"/>
  <c r="D7" i="5"/>
  <c r="D132" i="4" s="1"/>
  <c r="F168" i="4"/>
  <c r="O101" i="3"/>
  <c r="F13" i="5" s="1"/>
  <c r="F138" i="4" s="1"/>
  <c r="O124" i="3"/>
  <c r="O17" i="3"/>
  <c r="D9" i="5" s="1"/>
  <c r="D134" i="4" s="1"/>
  <c r="D164" i="4"/>
  <c r="D10" i="6"/>
  <c r="D150" i="4" s="1"/>
  <c r="G200" i="4" s="1"/>
  <c r="D6" i="5"/>
  <c r="D131" i="4" s="1"/>
  <c r="O21" i="3"/>
  <c r="O23" i="3"/>
  <c r="D11" i="5" s="1"/>
  <c r="D136" i="4" s="1"/>
  <c r="E10" i="5"/>
  <c r="E135" i="4" s="1"/>
  <c r="O62" i="3"/>
  <c r="E12" i="5" s="1"/>
  <c r="E137" i="4" s="1"/>
  <c r="E170" i="4"/>
  <c r="E16" i="6"/>
  <c r="E156" i="4" s="1"/>
  <c r="M201" i="4" s="1"/>
  <c r="O110" i="3"/>
  <c r="F16" i="5" s="1"/>
  <c r="F141" i="4" s="1"/>
  <c r="F171" i="4"/>
  <c r="G6" i="6"/>
  <c r="G146" i="4" s="1"/>
  <c r="C203" i="4" s="1"/>
  <c r="O140" i="3"/>
  <c r="G14" i="5" s="1"/>
  <c r="G139" i="4" s="1"/>
  <c r="G169" i="4"/>
  <c r="G170" i="4"/>
  <c r="O143" i="3"/>
  <c r="G15" i="5" s="1"/>
  <c r="G140" i="4" s="1"/>
  <c r="E161" i="4"/>
  <c r="E165" i="4"/>
  <c r="E169" i="4"/>
  <c r="E191" i="4" l="1"/>
  <c r="B211" i="4"/>
  <c r="E212" i="4"/>
  <c r="F194" i="4"/>
  <c r="C212" i="4"/>
  <c r="F192" i="4"/>
  <c r="H193" i="4"/>
  <c r="C228" i="4"/>
  <c r="D217" i="4"/>
  <c r="B221" i="4"/>
  <c r="L191" i="4"/>
  <c r="E209" i="4"/>
  <c r="C194" i="4"/>
  <c r="J191" i="4"/>
  <c r="B219" i="4"/>
  <c r="I192" i="4"/>
  <c r="C218" i="4"/>
  <c r="E16" i="5"/>
  <c r="E141" i="4" s="1"/>
  <c r="D212" i="4"/>
  <c r="F193" i="4"/>
  <c r="E193" i="4"/>
  <c r="D211" i="4"/>
  <c r="D219" i="4"/>
  <c r="J193" i="4"/>
  <c r="B192" i="4"/>
  <c r="B227" i="4"/>
  <c r="C208" i="4"/>
  <c r="D192" i="4"/>
  <c r="C210" i="4"/>
  <c r="E218" i="4"/>
  <c r="I194" i="4"/>
  <c r="C219" i="4"/>
  <c r="J192" i="4"/>
  <c r="G191" i="4"/>
  <c r="B213" i="4"/>
  <c r="D191" i="4"/>
  <c r="B210" i="4"/>
  <c r="G192" i="4"/>
  <c r="C213" i="4"/>
  <c r="E221" i="4"/>
  <c r="L194" i="4"/>
  <c r="B209" i="4"/>
  <c r="C191" i="4"/>
  <c r="F10" i="5"/>
  <c r="F135" i="4" s="1"/>
  <c r="B228" i="4" s="1"/>
  <c r="G16" i="5"/>
  <c r="G141" i="4" s="1"/>
  <c r="C229" i="4" s="1"/>
  <c r="G8" i="5"/>
  <c r="G133" i="4" s="1"/>
  <c r="E192" i="4"/>
  <c r="C211" i="4"/>
  <c r="H191" i="4"/>
  <c r="B217" i="4"/>
  <c r="C226" i="4"/>
  <c r="B226" i="4"/>
  <c r="B208" i="4"/>
  <c r="B191" i="4"/>
  <c r="D220" i="4"/>
  <c r="K193" i="4"/>
  <c r="H194" i="4"/>
  <c r="E217" i="4"/>
  <c r="E220" i="4"/>
  <c r="K194" i="4"/>
  <c r="B194" i="4"/>
  <c r="E208" i="4"/>
  <c r="D210" i="4"/>
  <c r="D193" i="4"/>
  <c r="I193" i="4"/>
  <c r="D218" i="4"/>
  <c r="M191" i="4"/>
  <c r="B222" i="4"/>
  <c r="E219" i="4"/>
  <c r="J194" i="4"/>
  <c r="D222" i="4"/>
  <c r="M193" i="4"/>
  <c r="I191" i="4"/>
  <c r="B218" i="4"/>
  <c r="G194" i="4"/>
  <c r="E213" i="4"/>
  <c r="B212" i="4"/>
  <c r="F191" i="4"/>
  <c r="B193" i="4"/>
  <c r="D208" i="4"/>
  <c r="D209" i="4"/>
  <c r="C193" i="4"/>
  <c r="E211" i="4" l="1"/>
  <c r="E194" i="4"/>
  <c r="M192" i="4"/>
  <c r="C222" i="4"/>
  <c r="M194" i="4"/>
  <c r="E222" i="4"/>
  <c r="C227" i="4"/>
  <c r="B229" i="4"/>
  <c r="G193" i="4"/>
  <c r="D213" i="4"/>
</calcChain>
</file>

<file path=xl/sharedStrings.xml><?xml version="1.0" encoding="utf-8"?>
<sst xmlns="http://schemas.openxmlformats.org/spreadsheetml/2006/main" count="1010" uniqueCount="347">
  <si>
    <t>How to Use This Workbook — SCGPC Fire Resistance Testing</t>
  </si>
  <si>
    <t>Sheet</t>
  </si>
  <si>
    <t>Purpose</t>
  </si>
  <si>
    <t>What to do</t>
  </si>
  <si>
    <t>0 - Instructions</t>
  </si>
  <si>
    <t>Overview and guide</t>
  </si>
  <si>
    <t>Read thoroughly before commencing furnace heating or CTM strength tests.</t>
  </si>
  <si>
    <t>1 - Mix Reference</t>
  </si>
  <si>
    <t>12 Mix matrix: SCBA (0-25%), 4M &amp; 6M NaOH</t>
  </si>
  <si>
    <t>Fill in 28-day ambient strength (MPa) once Batch 1 provides the values.</t>
  </si>
  <si>
    <t>2 - Raw Data Entry</t>
  </si>
  <si>
    <t>Main data recording sheet (144 cubes)</t>
  </si>
  <si>
    <t>Fill YELLOW cells during/after testing (Pre/Post mass, CTM failure load). GREEN cells calculate automatically.</t>
  </si>
  <si>
    <t>3 - Charts &amp; Curves</t>
  </si>
  <si>
    <t>Visual analysis dashboard (Bar Charts &amp; Curves)</t>
  </si>
  <si>
    <t>Dynamically generated Bar Charts and Residual Strength vs Temperature Curves placed before the Results summary.</t>
  </si>
  <si>
    <t>4 - Residual Strength Summary</t>
  </si>
  <si>
    <t>Auto-summary table &amp; residual strength %</t>
  </si>
  <si>
    <t>Fully automated — computes average post-fire MPa and residual % for all 12 mixes across 200–800°C.</t>
  </si>
  <si>
    <t>5 - Mass Loss Summary</t>
  </si>
  <si>
    <t>Auto-summary table of thermal mass loss %</t>
  </si>
  <si>
    <t>Fully automated — computes average mass loss % across 200°C, 400°C, 600°C, and 800°C.</t>
  </si>
  <si>
    <t>6 - Visual Observations Log</t>
  </si>
  <si>
    <t>Physical condition tracking (144 specimens)</t>
  </si>
  <si>
    <t>Fill post-fire visual observations: colour change, surface cracking, and spalling.</t>
  </si>
  <si>
    <t>7 - Schedule &amp; Checklist</t>
  </si>
  <si>
    <t>3-Week testing schedule &amp; QA checklist</t>
  </si>
  <si>
    <t>Track progress across Weeks 14–16 and verify critical laboratory safety checks.</t>
  </si>
  <si>
    <t>COLOR CONVENTIONS &amp; CODING</t>
  </si>
  <si>
    <t>Yellow cells</t>
  </si>
  <si>
    <t>INPUT CELLS — Enter experimental lab data manually (mass, failure load, visual notes)</t>
  </si>
  <si>
    <t>Green cells</t>
  </si>
  <si>
    <t>AUTO-CALCULATED — Contains formulas; do not overwrite</t>
  </si>
  <si>
    <t>Blue headers</t>
  </si>
  <si>
    <t>STRUCTURE — Mix parameters, column headers, and structural categories</t>
  </si>
  <si>
    <t>Orange cells</t>
  </si>
  <si>
    <t>CRITICAL WARNING / KEY MIX — Important safety note or optimum candidate (M9)</t>
  </si>
  <si>
    <t>SCGPC Fire Resistance Study — Mix Proportions &amp; Reference Matrix</t>
  </si>
  <si>
    <t>12 Mixes | Fly Ash : GGBS = 70:30 fixed | Na2SiO3 : NaOH = 1:1 fixed | SCBA Replacement: 0–25% | Molarities: 4M &amp; 6M</t>
  </si>
  <si>
    <t>Mix ID</t>
  </si>
  <si>
    <t>SCBA (%)</t>
  </si>
  <si>
    <t>Molarity</t>
  </si>
  <si>
    <t>Remaining Binder (%)</t>
  </si>
  <si>
    <t>Fly Ash (%) [in Binder]</t>
  </si>
  <si>
    <t>GGBS (%) [in Binder]</t>
  </si>
  <si>
    <t>Series Category</t>
  </si>
  <si>
    <t>Mix Notes &amp; Characteristics</t>
  </si>
  <si>
    <t>28-Day Comp. Strength (MPa) [Batch 1 Input]</t>
  </si>
  <si>
    <t>M0</t>
  </si>
  <si>
    <t>4M</t>
  </si>
  <si>
    <t>4M Series (Control)</t>
  </si>
  <si>
    <t>Baseline — 0% SCBA, FA:GGBS 70:30, 4M NaOH</t>
  </si>
  <si>
    <t>M1</t>
  </si>
  <si>
    <t>4M Series</t>
  </si>
  <si>
    <t>5% SCBA replacement</t>
  </si>
  <si>
    <t>M2</t>
  </si>
  <si>
    <t>10% SCBA replacement</t>
  </si>
  <si>
    <t>M3</t>
  </si>
  <si>
    <t>15% SCBA replacement</t>
  </si>
  <si>
    <t>M4</t>
  </si>
  <si>
    <t>20% SCBA replacement</t>
  </si>
  <si>
    <t>M5</t>
  </si>
  <si>
    <t>25% SCBA upper bound — watch workability</t>
  </si>
  <si>
    <t>M6</t>
  </si>
  <si>
    <t>6M</t>
  </si>
  <si>
    <t>6M Series (Control)</t>
  </si>
  <si>
    <t>Baseline — 0% SCBA, FA:GGBS 70:30, 6M NaOH</t>
  </si>
  <si>
    <t>M7</t>
  </si>
  <si>
    <t>6M Series</t>
  </si>
  <si>
    <t>M8</t>
  </si>
  <si>
    <t>M9</t>
  </si>
  <si>
    <t>6M Series (Key Mix)</t>
  </si>
  <si>
    <t>15% SCBA — likely optimum mix</t>
  </si>
  <si>
    <t>M10</t>
  </si>
  <si>
    <t>M11</t>
  </si>
  <si>
    <t>SCGPC Fire Resistance Testing — Raw Experimental Data Entry</t>
  </si>
  <si>
    <t>Fill YELLOW cells during laboratory testing. GREEN cells are computed automatically. Specimen size: 100mm cube (Area = 10,000 mm²).</t>
  </si>
  <si>
    <t>SPECIMEN IDENTIFICATION</t>
  </si>
  <si>
    <t>PRE-FIRE MEASUREMENTS</t>
  </si>
  <si>
    <t>POST-FIRE OBSERVATIONS</t>
  </si>
  <si>
    <t>CTM STRENGTH TESTING</t>
  </si>
  <si>
    <t>AUTO-CALCULATED RESULTS</t>
  </si>
  <si>
    <t>RECORDS</t>
  </si>
  <si>
    <t>Temperature (°C)</t>
  </si>
  <si>
    <t>Replicate (1/2/3)</t>
  </si>
  <si>
    <t>Pre-Fire Mass (g)</t>
  </si>
  <si>
    <t>Pre-Fire Notes</t>
  </si>
  <si>
    <t>Post-Fire Mass (g)</t>
  </si>
  <si>
    <t>Colour Change</t>
  </si>
  <si>
    <t>Cracking (None/Min/Maj)</t>
  </si>
  <si>
    <t>Spalling (None/Part/Sev)</t>
  </si>
  <si>
    <t>Failure Load (kN)</t>
  </si>
  <si>
    <t>Failure Load (N) [auto]</t>
  </si>
  <si>
    <t>28-Day Str. (MPa) [Ref]</t>
  </si>
  <si>
    <t>Mass Loss (%) [auto]</t>
  </si>
  <si>
    <t>Residual Strength (MPa) [auto]</t>
  </si>
  <si>
    <t>Residual Strength (%) [auto]</t>
  </si>
  <si>
    <t>Photo Filename</t>
  </si>
  <si>
    <t>SCGPC Fire Resistance Analysis — Graphical Charts &amp; Temperature Curves</t>
  </si>
  <si>
    <t>Automated bar charts and curve diagrams, placed before the results summaries. They redraw as data is entered in Sheet 2. Chart source tables are below the charts (row 128 onwards). Grey N/A entries in tables 5–8 = data not entered yet (keeps curves from dropping to zero).</t>
  </si>
  <si>
    <t>CHART GROUP A: Curve diagrams — Residual strength (%) vs Temperature</t>
  </si>
  <si>
    <t>CHART GROUP B: Curve diagrams — Effect of SCBA replacement level at each temperature</t>
  </si>
  <si>
    <t>CHART GROUP C: Curve diagrams — Mass loss (%) vs Temperature</t>
  </si>
  <si>
    <t>CHART GROUP D: Bar charts — Comparison of all 12 mixes (clustered by temperature)</t>
  </si>
  <si>
    <t>CHART GROUP E: Key comparisons — Control vs key mix M9, and NaOH 4M vs 6M</t>
  </si>
  <si>
    <t>CHART SOURCE TABLES — formula-driven from Sheets 1, 2, 4 and 5 (do not edit)</t>
  </si>
  <si>
    <t>DATA TABLE 1: Residual Compressive Strength (%) Across Temperatures</t>
  </si>
  <si>
    <t>200°C</t>
  </si>
  <si>
    <t>400°C</t>
  </si>
  <si>
    <t>600°C</t>
  </si>
  <si>
    <t>800°C</t>
  </si>
  <si>
    <t>DATA TABLE 2: Mass Loss (%) Across Temperatures</t>
  </si>
  <si>
    <t>DATA TABLE 3: Residual Compressive Strength (MPa) — average of 3 replicates</t>
  </si>
  <si>
    <t>DATA TABLE 4: 28-Day Compressive Strength (MPa) — Batch 1 baseline</t>
  </si>
  <si>
    <t>28-Day (MPa)</t>
  </si>
  <si>
    <t>DATA TABLE 5: Residual Strength Degradation Curves (X-Axis: Temperature °C)</t>
  </si>
  <si>
    <t>M0 (0% SCBA, 4M)</t>
  </si>
  <si>
    <t>M1 (5% SCBA, 4M)</t>
  </si>
  <si>
    <t>M2 (10% SCBA, 4M)</t>
  </si>
  <si>
    <t>M3 (15% SCBA, 4M)</t>
  </si>
  <si>
    <t>M4 (20% SCBA, 4M)</t>
  </si>
  <si>
    <t>M5 (25% SCBA, 4M)</t>
  </si>
  <si>
    <t>M6 (0% SCBA, 6M)</t>
  </si>
  <si>
    <t>M7 (5% SCBA, 6M)</t>
  </si>
  <si>
    <t>M8 (10% SCBA, 6M)</t>
  </si>
  <si>
    <t>M9 (15% SCBA, 6M)</t>
  </si>
  <si>
    <t>M10 (20% SCBA, 6M)</t>
  </si>
  <si>
    <t>M11 (25% SCBA, 6M)</t>
  </si>
  <si>
    <t>25°C (Ambient)</t>
  </si>
  <si>
    <t>DATA TABLE 6: Mass Loss Curves (X-Axis: Temperature °C)</t>
  </si>
  <si>
    <t>DATA TABLE 7A: Residual Strength (%) vs SCBA Replacement — 4M NaOH</t>
  </si>
  <si>
    <t>DATA TABLE 7B: Residual Strength (%) vs SCBA Replacement — 6M NaOH</t>
  </si>
  <si>
    <t>DATA TABLE 8: Average Residual Strength (%) over all SCBA levels — 4M vs 6M NaOH</t>
  </si>
  <si>
    <t>4M NaOH (avg)</t>
  </si>
  <si>
    <t>6M NaOH (avg)</t>
  </si>
  <si>
    <t>Residual Strength Summary — Average per Mix per Temperature</t>
  </si>
  <si>
    <t>Values are AVERAGE of 3 replicates. Residual Strength % = (Residual Compressive Strength / 28-Day Strength) × 100.</t>
  </si>
  <si>
    <t>Series / Molarity</t>
  </si>
  <si>
    <t>200°C Residual Strength (%)</t>
  </si>
  <si>
    <t>400°C Residual Strength (%)</t>
  </si>
  <si>
    <t>600°C Residual Strength (%)</t>
  </si>
  <si>
    <t>800°C Residual Strength (%)</t>
  </si>
  <si>
    <t>Mix Notes &amp; Findings</t>
  </si>
  <si>
    <t>4M NaOH</t>
  </si>
  <si>
    <t>6M NaOH</t>
  </si>
  <si>
    <t>Mass Loss Summary — Average per Mix per Temperature</t>
  </si>
  <si>
    <t>Mass Loss % = ((Pre-fire mass − Post-fire mass) ÷ Pre-fire mass) × 100. Values are average of 3 replicates.</t>
  </si>
  <si>
    <t>200°C Mass Loss (%)</t>
  </si>
  <si>
    <t>400°C Mass Loss (%)</t>
  </si>
  <si>
    <t>600°C Mass Loss (%)</t>
  </si>
  <si>
    <t>800°C Mass Loss (%)</t>
  </si>
  <si>
    <t>Mix Notes &amp; Observations</t>
  </si>
  <si>
    <t>Visual Observations Log — Post-Fire Physical Appearance</t>
  </si>
  <si>
    <t>Colour Guide: White/Grey = mild heating (200°C) | Brown/Reddish ≈ 400°C | Dark grey/Black ≥ 600°C | Light pink/buff ≈ 800°C. Record for every specimen.</t>
  </si>
  <si>
    <t>Specimen Label (Mix-Temp-Rep)</t>
  </si>
  <si>
    <t>Replicate</t>
  </si>
  <si>
    <t>Colour Description</t>
  </si>
  <si>
    <t>Surface Cracking (None/Minor/Major)</t>
  </si>
  <si>
    <t>Spalling Assessment (None/Partial/Severe)</t>
  </si>
  <si>
    <t>Additional Morphological Notes</t>
  </si>
  <si>
    <t>M0-200-1</t>
  </si>
  <si>
    <t>M0-200-2</t>
  </si>
  <si>
    <t>M0-200-3</t>
  </si>
  <si>
    <t>M1-200-1</t>
  </si>
  <si>
    <t>M1-200-2</t>
  </si>
  <si>
    <t>M1-200-3</t>
  </si>
  <si>
    <t>M2-200-1</t>
  </si>
  <si>
    <t>M2-200-2</t>
  </si>
  <si>
    <t>M2-200-3</t>
  </si>
  <si>
    <t>M3-200-1</t>
  </si>
  <si>
    <t>M3-200-2</t>
  </si>
  <si>
    <t>M3-200-3</t>
  </si>
  <si>
    <t>M4-200-1</t>
  </si>
  <si>
    <t>M4-200-2</t>
  </si>
  <si>
    <t>M4-200-3</t>
  </si>
  <si>
    <t>M5-200-1</t>
  </si>
  <si>
    <t>M5-200-2</t>
  </si>
  <si>
    <t>M5-200-3</t>
  </si>
  <si>
    <t>M6-200-1</t>
  </si>
  <si>
    <t>M6-200-2</t>
  </si>
  <si>
    <t>M6-200-3</t>
  </si>
  <si>
    <t>M7-200-1</t>
  </si>
  <si>
    <t>M7-200-2</t>
  </si>
  <si>
    <t>M7-200-3</t>
  </si>
  <si>
    <t>M8-200-1</t>
  </si>
  <si>
    <t>M8-200-2</t>
  </si>
  <si>
    <t>M8-200-3</t>
  </si>
  <si>
    <t>M9-200-1</t>
  </si>
  <si>
    <t>M9-200-2</t>
  </si>
  <si>
    <t>M9-200-3</t>
  </si>
  <si>
    <t>M10-200-1</t>
  </si>
  <si>
    <t>M10-200-2</t>
  </si>
  <si>
    <t>M10-200-3</t>
  </si>
  <si>
    <t>M11-200-1</t>
  </si>
  <si>
    <t>M11-200-2</t>
  </si>
  <si>
    <t>M11-200-3</t>
  </si>
  <si>
    <t>M0-400-1</t>
  </si>
  <si>
    <t>M0-400-2</t>
  </si>
  <si>
    <t>M0-400-3</t>
  </si>
  <si>
    <t>M1-400-1</t>
  </si>
  <si>
    <t>M1-400-2</t>
  </si>
  <si>
    <t>M1-400-3</t>
  </si>
  <si>
    <t>M2-400-1</t>
  </si>
  <si>
    <t>M2-400-2</t>
  </si>
  <si>
    <t>M2-400-3</t>
  </si>
  <si>
    <t>M3-400-1</t>
  </si>
  <si>
    <t>M3-400-2</t>
  </si>
  <si>
    <t>M3-400-3</t>
  </si>
  <si>
    <t>M4-400-1</t>
  </si>
  <si>
    <t>M4-400-2</t>
  </si>
  <si>
    <t>M4-400-3</t>
  </si>
  <si>
    <t>M5-400-1</t>
  </si>
  <si>
    <t>M5-400-2</t>
  </si>
  <si>
    <t>M5-400-3</t>
  </si>
  <si>
    <t>M6-400-1</t>
  </si>
  <si>
    <t>M6-400-2</t>
  </si>
  <si>
    <t>M6-400-3</t>
  </si>
  <si>
    <t>M7-400-1</t>
  </si>
  <si>
    <t>M7-400-2</t>
  </si>
  <si>
    <t>M7-400-3</t>
  </si>
  <si>
    <t>M8-400-1</t>
  </si>
  <si>
    <t>M8-400-2</t>
  </si>
  <si>
    <t>M8-400-3</t>
  </si>
  <si>
    <t>M9-400-1</t>
  </si>
  <si>
    <t>M9-400-2</t>
  </si>
  <si>
    <t>M9-400-3</t>
  </si>
  <si>
    <t>M10-400-1</t>
  </si>
  <si>
    <t>M10-400-2</t>
  </si>
  <si>
    <t>M10-400-3</t>
  </si>
  <si>
    <t>M11-400-1</t>
  </si>
  <si>
    <t>M11-400-2</t>
  </si>
  <si>
    <t>M11-400-3</t>
  </si>
  <si>
    <t>M0-600-1</t>
  </si>
  <si>
    <t>M0-600-2</t>
  </si>
  <si>
    <t>M0-600-3</t>
  </si>
  <si>
    <t>M1-600-1</t>
  </si>
  <si>
    <t>M1-600-2</t>
  </si>
  <si>
    <t>M1-600-3</t>
  </si>
  <si>
    <t>M2-600-1</t>
  </si>
  <si>
    <t>M2-600-2</t>
  </si>
  <si>
    <t>M2-600-3</t>
  </si>
  <si>
    <t>M3-600-1</t>
  </si>
  <si>
    <t>M3-600-2</t>
  </si>
  <si>
    <t>M3-600-3</t>
  </si>
  <si>
    <t>M4-600-1</t>
  </si>
  <si>
    <t>M4-600-2</t>
  </si>
  <si>
    <t>M4-600-3</t>
  </si>
  <si>
    <t>M5-600-1</t>
  </si>
  <si>
    <t>M5-600-2</t>
  </si>
  <si>
    <t>M5-600-3</t>
  </si>
  <si>
    <t>M6-600-1</t>
  </si>
  <si>
    <t>M6-600-2</t>
  </si>
  <si>
    <t>M6-600-3</t>
  </si>
  <si>
    <t>M7-600-1</t>
  </si>
  <si>
    <t>M7-600-2</t>
  </si>
  <si>
    <t>M7-600-3</t>
  </si>
  <si>
    <t>M8-600-1</t>
  </si>
  <si>
    <t>M8-600-2</t>
  </si>
  <si>
    <t>M8-600-3</t>
  </si>
  <si>
    <t>M9-600-1</t>
  </si>
  <si>
    <t>M9-600-2</t>
  </si>
  <si>
    <t>M9-600-3</t>
  </si>
  <si>
    <t>M10-600-1</t>
  </si>
  <si>
    <t>M10-600-2</t>
  </si>
  <si>
    <t>M10-600-3</t>
  </si>
  <si>
    <t>M11-600-1</t>
  </si>
  <si>
    <t>M11-600-2</t>
  </si>
  <si>
    <t>M11-600-3</t>
  </si>
  <si>
    <t>M0-800-1</t>
  </si>
  <si>
    <t>M0-800-2</t>
  </si>
  <si>
    <t>M0-800-3</t>
  </si>
  <si>
    <t>M1-800-1</t>
  </si>
  <si>
    <t>M1-800-2</t>
  </si>
  <si>
    <t>M1-800-3</t>
  </si>
  <si>
    <t>M2-800-1</t>
  </si>
  <si>
    <t>M2-800-2</t>
  </si>
  <si>
    <t>M2-800-3</t>
  </si>
  <si>
    <t>M3-800-1</t>
  </si>
  <si>
    <t>M3-800-2</t>
  </si>
  <si>
    <t>M3-800-3</t>
  </si>
  <si>
    <t>M4-800-1</t>
  </si>
  <si>
    <t>M4-800-2</t>
  </si>
  <si>
    <t>M4-800-3</t>
  </si>
  <si>
    <t>M5-800-1</t>
  </si>
  <si>
    <t>M5-800-2</t>
  </si>
  <si>
    <t>M5-800-3</t>
  </si>
  <si>
    <t>M6-800-1</t>
  </si>
  <si>
    <t>M6-800-2</t>
  </si>
  <si>
    <t>M6-800-3</t>
  </si>
  <si>
    <t>M7-800-1</t>
  </si>
  <si>
    <t>M7-800-2</t>
  </si>
  <si>
    <t>M7-800-3</t>
  </si>
  <si>
    <t>M8-800-1</t>
  </si>
  <si>
    <t>M8-800-2</t>
  </si>
  <si>
    <t>M8-800-3</t>
  </si>
  <si>
    <t>M9-800-1</t>
  </si>
  <si>
    <t>M9-800-2</t>
  </si>
  <si>
    <t>M9-800-3</t>
  </si>
  <si>
    <t>M10-800-1</t>
  </si>
  <si>
    <t>M10-800-2</t>
  </si>
  <si>
    <t>M10-800-3</t>
  </si>
  <si>
    <t>M11-800-1</t>
  </si>
  <si>
    <t>M11-800-2</t>
  </si>
  <si>
    <t>M11-800-3</t>
  </si>
  <si>
    <t>Testing Schedule &amp; Pre-Test Quality Checklist — Weeks 14–16</t>
  </si>
  <si>
    <t>Week</t>
  </si>
  <si>
    <t>Temperature Batches</t>
  </si>
  <si>
    <t>Specimen Count</t>
  </si>
  <si>
    <t>Task Description &amp; Protocol</t>
  </si>
  <si>
    <t>Responsible Batch</t>
  </si>
  <si>
    <t>Completed? (Y/N)</t>
  </si>
  <si>
    <t>Week 14</t>
  </si>
  <si>
    <t>200°C Batch</t>
  </si>
  <si>
    <t>36 cubes (12 mixes × 3 reps)</t>
  </si>
  <si>
    <t>Run 200°C first. Heating rate 5–10°C/min, hold 2 hours. Allow natural air cooling. Weigh, photograph, test residual CTM strength. Record all data.</t>
  </si>
  <si>
    <t>B.Tech Batch 2</t>
  </si>
  <si>
    <t>400°C Batch</t>
  </si>
  <si>
    <t>Moderate fire scenario. Hold at 400°C for 2 hours. Cool naturally to room temperature. Weigh, inspect colour change, test CTM.</t>
  </si>
  <si>
    <t>Week 15</t>
  </si>
  <si>
    <t>600°C Batch</t>
  </si>
  <si>
    <t>Severe fire scenario — phase changes. Expect visible colour shifts and microcracking. Allow extended natural cooling. Test residual strength.</t>
  </si>
  <si>
    <t>Week 16</t>
  </si>
  <si>
    <t>800°C Batch</t>
  </si>
  <si>
    <t>Extreme fire exposure — structural assessment. Spalling and significant mass loss likely. Ensure ventilation. Hand over full dataset to M.Tech student.</t>
  </si>
  <si>
    <t>PRE-TEST VERIFICATION CHECKLIST</t>
  </si>
  <si>
    <t>☐</t>
  </si>
  <si>
    <t>Laboratory Blockout</t>
  </si>
  <si>
    <t>Furnace booking confirmed for all 3 testing weeks (Weeks 14, 15, and 16)</t>
  </si>
  <si>
    <t>Pending</t>
  </si>
  <si>
    <t>Data Prerequisite</t>
  </si>
  <si>
    <t>Original 28-day compressive strength values received from M.Tech student (for all 12 mixes)</t>
  </si>
  <si>
    <t>Specimen Verification</t>
  </si>
  <si>
    <t>All 144 concrete cubes received and verified from casting team</t>
  </si>
  <si>
    <t>Specimen Labelling</t>
  </si>
  <si>
    <t>All cubes clearly labelled: Mix ID – Temperature – Replicate number (e.g., M9-600-3)</t>
  </si>
  <si>
    <t>Mass Measurement</t>
  </si>
  <si>
    <t>High-precision digital balance available, cleaned, and calibrated</t>
  </si>
  <si>
    <t>Strength Testing</t>
  </si>
  <si>
    <t>CTM (Compression Testing Machine) calibrated with loading rate set to 2.5 kN/s</t>
  </si>
  <si>
    <t>Laboratory Safety</t>
  </si>
  <si>
    <t>Heat-resistant safety gloves, tongs, and protective face shields available</t>
  </si>
  <si>
    <t>Hazard Mitigation</t>
  </si>
  <si>
    <t>Laboratory exhaust and ventilation system verified operational for 600°C and 800°C runs</t>
  </si>
  <si>
    <t>Visual Evidence</t>
  </si>
  <si>
    <t>High-resolution camera/phone prepared for pre-fire, post-fire, and failure mode documentation</t>
  </si>
  <si>
    <t>Thermal Shock Prevention</t>
  </si>
  <si>
    <t>CRITICAL SAFETY RULE: Understood that specimens must NEVER be quenched in water (air cooling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</si>
</sst>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17" x14ac:knownFonts="1">
    <font>
      <sz val="11"/>
      <color theme="1"/>
      <name val="Calibri"/>
      <family val="2"/>
      <charset val="1"/>
    </font>
    <font>
      <b/>
      <sz val="14"/>
      <color rgb="FFFFFFFF"/>
      <name val="Times New Roman"/>
      <family val="1"/>
    </font>
    <font>
      <i/>
      <sz val="9.5"/>
      <name val="Times New Roman"/>
      <family val="1"/>
    </font>
    <font>
      <sz val="11"/>
      <color theme="1"/>
      <name val="Times New Roman"/>
      <family val="1"/>
    </font>
    <font>
      <b/>
      <sz val="10"/>
      <color rgb="FFFFFFFF"/>
      <name val="Times New Roman"/>
      <family val="1"/>
    </font>
    <font>
      <b/>
      <sz val="9"/>
      <color rgb="FF1F3864"/>
      <name val="Times New Roman"/>
      <family val="1"/>
    </font>
    <font>
      <sz val="9"/>
      <color theme="1"/>
      <name val="Times New Roman"/>
      <family val="1"/>
    </font>
    <font>
      <b/>
      <sz val="10"/>
      <color rgb="FF1F3864"/>
      <name val="Times New Roman"/>
      <family val="1"/>
    </font>
    <font>
      <b/>
      <sz val="9.5"/>
      <name val="Times New Roman"/>
      <family val="1"/>
    </font>
    <font>
      <sz val="9.5"/>
      <name val="Times New Roman"/>
      <family val="1"/>
    </font>
    <font>
      <b/>
      <sz val="11"/>
      <color rgb="FF1F3864"/>
      <name val="Times New Roman"/>
      <family val="1"/>
    </font>
    <font>
      <b/>
      <sz val="9.5"/>
      <color rgb="FF1F3864"/>
      <name val="Times New Roman"/>
      <family val="1"/>
    </font>
    <font>
      <sz val="9"/>
      <name val="Times New Roman"/>
      <family val="1"/>
    </font>
    <font>
      <b/>
      <sz val="8.5"/>
      <color rgb="FF1F3864"/>
      <name val="Times New Roman"/>
      <family val="1"/>
    </font>
    <font>
      <b/>
      <sz val="9"/>
      <name val="Times New Roman"/>
      <family val="1"/>
    </font>
    <font>
      <b/>
      <sz val="12"/>
      <name val="Times New Roman"/>
      <family val="1"/>
    </font>
    <font>
      <b/>
      <sz val="9"/>
      <color rgb="FF2F5597"/>
      <name val="Times New Roman"/>
      <family val="1"/>
    </font>
  </fonts>
  <fills count="13">
    <fill>
      <patternFill patternType="none"/>
    </fill>
    <fill>
      <patternFill patternType="gray125"/>
    </fill>
    <fill>
      <patternFill patternType="solid">
        <fgColor rgb="FF1F3864"/>
        <bgColor rgb="FF2F5597"/>
      </patternFill>
    </fill>
    <fill>
      <patternFill patternType="solid">
        <fgColor rgb="FFD9E1F2"/>
        <bgColor rgb="FFD9D9D9"/>
      </patternFill>
    </fill>
    <fill>
      <patternFill patternType="solid">
        <fgColor rgb="FFF2F2F2"/>
        <bgColor rgb="FFE2EFDA"/>
      </patternFill>
    </fill>
    <fill>
      <patternFill patternType="solid">
        <fgColor rgb="FFFFFFFF"/>
        <bgColor rgb="FFF2F2F2"/>
      </patternFill>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2F5597"/>
        <bgColor rgb="FF2E75B6"/>
      </patternFill>
    </fill>
    <fill>
      <patternFill patternType="solid">
        <fgColor rgb="FF385723"/>
        <bgColor rgb="FF595959"/>
      </patternFill>
    </fill>
    <fill>
      <patternFill patternType="solid">
        <fgColor rgb="FF595959"/>
        <bgColor rgb="FF385723"/>
      </patternFill>
    </fill>
    <fill>
      <patternFill patternType="solid">
        <fgColor rgb="FFBDD7EE"/>
        <bgColor rgb="FFD9D9D9"/>
      </patternFill>
    </fill>
  </fills>
  <borders count="4">
    <border>
      <left/>
      <right/>
      <top/>
      <bottom/>
      <diagonal/>
    </border>
    <border>
      <left style="thin">
        <color rgb="FF8EA9DB"/>
      </left>
      <right style="thin">
        <color rgb="FF8EA9DB"/>
      </right>
      <top style="thin">
        <color rgb="FF8EA9DB"/>
      </top>
      <bottom style="medium">
        <color rgb="FF1F3864"/>
      </bottom>
      <diagonal/>
    </border>
    <border>
      <left style="thin">
        <color rgb="FFBFBFBF"/>
      </left>
      <right style="thin">
        <color rgb="FFBFBFBF"/>
      </right>
      <top style="thin">
        <color rgb="FFBFBFBF"/>
      </top>
      <bottom style="thin">
        <color rgb="FFBFBFBF"/>
      </bottom>
      <diagonal/>
    </border>
    <border>
      <left style="thin">
        <color rgb="FF8EA9DB"/>
      </left>
      <right style="thin">
        <color rgb="FF8EA9DB"/>
      </right>
      <top style="thin">
        <color rgb="FF8EA9DB"/>
      </top>
      <bottom style="thin">
        <color rgb="FF8EA9DB"/>
      </bottom>
      <diagonal/>
    </border>
  </borders>
  <cellStyleXfs count="1">
    <xf numFmtId="0" fontId="0" fillId="0" borderId="0"/>
  </cellStyleXfs>
  <cellXfs count="56">
    <xf numFmtId="0" fontId="0" fillId="0" borderId="0" xfId="0"/>
    <xf numFmtId="0" fontId="2" fillId="0" borderId="0" xfId="0" applyFont="1"/>
    <xf numFmtId="0" fontId="3" fillId="0" borderId="0" xfId="0" applyFont="1"/>
    <xf numFmtId="0" fontId="4" fillId="11" borderId="0" xfId="0" applyFont="1" applyFill="1" applyAlignment="1">
      <alignment horizontal="center" vertical="center"/>
    </xf>
    <xf numFmtId="0" fontId="5" fillId="12" borderId="1" xfId="0" applyFont="1" applyFill="1" applyBorder="1" applyAlignment="1">
      <alignment horizontal="center" vertical="center" wrapText="1"/>
    </xf>
    <xf numFmtId="0" fontId="6" fillId="4" borderId="2" xfId="0" applyFont="1" applyFill="1" applyBorder="1" applyAlignment="1">
      <alignment horizontal="center"/>
    </xf>
    <xf numFmtId="0" fontId="6" fillId="6" borderId="2" xfId="0" applyFont="1" applyFill="1" applyBorder="1" applyAlignment="1">
      <alignment horizontal="center"/>
    </xf>
    <xf numFmtId="3" fontId="6" fillId="7" borderId="2" xfId="0" applyNumberFormat="1" applyFont="1" applyFill="1" applyBorder="1" applyAlignment="1">
      <alignment horizontal="center"/>
    </xf>
    <xf numFmtId="2" fontId="6" fillId="4" borderId="2" xfId="0" applyNumberFormat="1" applyFont="1" applyFill="1" applyBorder="1" applyAlignment="1">
      <alignment horizontal="center"/>
    </xf>
    <xf numFmtId="2" fontId="6" fillId="7" borderId="2" xfId="0" applyNumberFormat="1" applyFont="1" applyFill="1" applyBorder="1" applyAlignment="1">
      <alignment horizontal="center"/>
    </xf>
    <xf numFmtId="0" fontId="6" fillId="5" borderId="2" xfId="0" applyFont="1" applyFill="1" applyBorder="1" applyAlignment="1">
      <alignment horizontal="center"/>
    </xf>
    <xf numFmtId="0" fontId="7" fillId="3" borderId="1" xfId="0" applyFont="1" applyFill="1" applyBorder="1" applyAlignment="1">
      <alignment horizontal="center" vertical="center"/>
    </xf>
    <xf numFmtId="0" fontId="8" fillId="4" borderId="2" xfId="0" applyFont="1" applyFill="1" applyBorder="1"/>
    <xf numFmtId="0" fontId="9" fillId="4" borderId="2" xfId="0" applyFont="1" applyFill="1" applyBorder="1"/>
    <xf numFmtId="0" fontId="8" fillId="5" borderId="2" xfId="0" applyFont="1" applyFill="1" applyBorder="1"/>
    <xf numFmtId="0" fontId="9" fillId="5" borderId="2" xfId="0" applyFont="1" applyFill="1" applyBorder="1"/>
    <xf numFmtId="0" fontId="10" fillId="0" borderId="0" xfId="0" applyFont="1"/>
    <xf numFmtId="0" fontId="8"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8" borderId="2" xfId="0" applyFont="1" applyFill="1" applyBorder="1" applyAlignment="1">
      <alignment horizontal="center" vertical="center"/>
    </xf>
    <xf numFmtId="0" fontId="11" fillId="3" borderId="1" xfId="0" applyFont="1" applyFill="1" applyBorder="1" applyAlignment="1">
      <alignment horizontal="center" vertical="center" wrapText="1"/>
    </xf>
    <xf numFmtId="0" fontId="9" fillId="5" borderId="2" xfId="0" applyFont="1" applyFill="1" applyBorder="1" applyAlignment="1">
      <alignment horizontal="center"/>
    </xf>
    <xf numFmtId="0" fontId="9" fillId="5" borderId="2" xfId="0" applyFont="1" applyFill="1" applyBorder="1" applyAlignment="1">
      <alignment horizontal="left"/>
    </xf>
    <xf numFmtId="0" fontId="8" fillId="6" borderId="2" xfId="0" applyFont="1" applyFill="1" applyBorder="1" applyAlignment="1">
      <alignment horizontal="center"/>
    </xf>
    <xf numFmtId="0" fontId="9" fillId="4" borderId="2" xfId="0" applyFont="1" applyFill="1" applyBorder="1" applyAlignment="1">
      <alignment horizontal="center"/>
    </xf>
    <xf numFmtId="0" fontId="9" fillId="4" borderId="2" xfId="0" applyFont="1" applyFill="1" applyBorder="1" applyAlignment="1">
      <alignment horizontal="left"/>
    </xf>
    <xf numFmtId="0" fontId="8" fillId="8" borderId="2" xfId="0" applyFont="1" applyFill="1" applyBorder="1" applyAlignment="1">
      <alignment horizontal="center"/>
    </xf>
    <xf numFmtId="0" fontId="8" fillId="8" borderId="2" xfId="0" applyFont="1" applyFill="1" applyBorder="1" applyAlignment="1">
      <alignment horizontal="left"/>
    </xf>
    <xf numFmtId="0" fontId="7" fillId="0" borderId="0" xfId="0" applyFont="1"/>
    <xf numFmtId="0" fontId="5" fillId="3" borderId="3" xfId="0" applyFont="1" applyFill="1" applyBorder="1" applyAlignment="1">
      <alignment horizontal="center" vertical="center" wrapText="1"/>
    </xf>
    <xf numFmtId="0" fontId="12" fillId="0" borderId="2" xfId="0" applyFont="1" applyBorder="1" applyAlignment="1">
      <alignment horizontal="center"/>
    </xf>
    <xf numFmtId="2" fontId="12" fillId="0" borderId="2" xfId="0" applyNumberFormat="1" applyFont="1" applyBorder="1" applyAlignment="1">
      <alignment horizontal="center"/>
    </xf>
    <xf numFmtId="164" fontId="12" fillId="0" borderId="2" xfId="0" applyNumberFormat="1" applyFont="1" applyBorder="1" applyAlignment="1">
      <alignment horizontal="center"/>
    </xf>
    <xf numFmtId="0" fontId="13" fillId="3" borderId="3" xfId="0" applyFont="1" applyFill="1" applyBorder="1" applyAlignment="1">
      <alignment horizontal="center" vertical="center" wrapText="1"/>
    </xf>
    <xf numFmtId="0" fontId="14" fillId="0" borderId="2" xfId="0" applyFont="1" applyBorder="1" applyAlignment="1">
      <alignment horizontal="center"/>
    </xf>
    <xf numFmtId="165" fontId="14" fillId="0" borderId="2" xfId="0" applyNumberFormat="1" applyFont="1" applyBorder="1" applyAlignment="1">
      <alignment horizontal="center"/>
    </xf>
    <xf numFmtId="2" fontId="9" fillId="5" borderId="2" xfId="0" applyNumberFormat="1" applyFont="1" applyFill="1" applyBorder="1" applyAlignment="1">
      <alignment horizontal="center"/>
    </xf>
    <xf numFmtId="2" fontId="9" fillId="4" borderId="2" xfId="0" applyNumberFormat="1" applyFont="1" applyFill="1" applyBorder="1" applyAlignment="1">
      <alignment horizontal="center"/>
    </xf>
    <xf numFmtId="2" fontId="8" fillId="8" borderId="2" xfId="0" applyNumberFormat="1" applyFont="1" applyFill="1" applyBorder="1" applyAlignment="1">
      <alignment horizontal="center"/>
    </xf>
    <xf numFmtId="0" fontId="12" fillId="4" borderId="2" xfId="0" applyFont="1" applyFill="1" applyBorder="1" applyAlignment="1">
      <alignment horizontal="center"/>
    </xf>
    <xf numFmtId="0" fontId="6" fillId="6" borderId="2" xfId="0" applyFont="1" applyFill="1" applyBorder="1" applyAlignment="1">
      <alignment horizontal="left"/>
    </xf>
    <xf numFmtId="0" fontId="12" fillId="5" borderId="2" xfId="0" applyFont="1" applyFill="1" applyBorder="1" applyAlignment="1">
      <alignment horizontal="center"/>
    </xf>
    <xf numFmtId="0" fontId="11" fillId="3" borderId="1" xfId="0" applyFont="1" applyFill="1" applyBorder="1" applyAlignment="1">
      <alignment horizontal="center" vertical="center"/>
    </xf>
    <xf numFmtId="0" fontId="12" fillId="5" borderId="2" xfId="0" applyFont="1" applyFill="1" applyBorder="1" applyAlignment="1">
      <alignment horizontal="left"/>
    </xf>
    <xf numFmtId="0" fontId="12" fillId="6" borderId="2" xfId="0" applyFont="1" applyFill="1" applyBorder="1" applyAlignment="1">
      <alignment horizontal="center"/>
    </xf>
    <xf numFmtId="0" fontId="12" fillId="4" borderId="2" xfId="0" applyFont="1" applyFill="1" applyBorder="1" applyAlignment="1">
      <alignment horizontal="left"/>
    </xf>
    <xf numFmtId="0" fontId="15" fillId="6" borderId="2" xfId="0" applyFont="1" applyFill="1" applyBorder="1" applyAlignment="1">
      <alignment horizontal="center" vertical="center"/>
    </xf>
    <xf numFmtId="0" fontId="16" fillId="4" borderId="2" xfId="0" applyFont="1" applyFill="1" applyBorder="1" applyAlignment="1">
      <alignment horizontal="center" vertical="center"/>
    </xf>
    <xf numFmtId="0" fontId="12" fillId="6" borderId="2" xfId="0" applyFont="1" applyFill="1" applyBorder="1" applyAlignment="1">
      <alignment horizontal="center" vertical="center"/>
    </xf>
    <xf numFmtId="0" fontId="1" fillId="2" borderId="0" xfId="0" applyFont="1" applyFill="1"/>
    <xf numFmtId="0" fontId="9" fillId="0" borderId="2" xfId="0" applyFont="1" applyBorder="1"/>
    <xf numFmtId="0" fontId="4" fillId="2"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12" fillId="0" borderId="2" xfId="0" applyFont="1" applyBorder="1"/>
  </cellXfs>
  <cellStyles count="1">
    <cellStyle name="Normal" xfId="0" builtinId="0"/>
  </cellStyles>
  <dxfs count="1">
    <dxf>
      <font>
        <color rgb="FFA6A6A6"/>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8EA9DB"/>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E2EFDA"/>
      <rgbColor rgb="FFFCE4D6"/>
      <rgbColor rgb="FF9DC3E6"/>
      <rgbColor rgb="FFFF99CC"/>
      <rgbColor rgb="FFD9D9D9"/>
      <rgbColor rgb="FFF4B183"/>
      <rgbColor rgb="FF2E75B6"/>
      <rgbColor rgb="FF33CCCC"/>
      <rgbColor rgb="FF99CC00"/>
      <rgbColor rgb="FFFFCC00"/>
      <rgbColor rgb="FFFF9900"/>
      <rgbColor rgb="FFC55A11"/>
      <rgbColor rgb="FF595959"/>
      <rgbColor rgb="FFA6A6A6"/>
      <rgbColor rgb="FF1F3864"/>
      <rgbColor rgb="FF339966"/>
      <rgbColor rgb="FF003300"/>
      <rgbColor rgb="FF333300"/>
      <rgbColor rgb="FF993300"/>
      <rgbColor rgb="FF993366"/>
      <rgbColor rgb="FF2F5597"/>
      <rgbColor rgb="FF3857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Strength vs Temperature — 4M NaOH (M0–M5)</a:t>
            </a:r>
          </a:p>
        </c:rich>
      </c:tx>
      <c:overlay val="0"/>
      <c:spPr>
        <a:noFill/>
        <a:ln w="0">
          <a:noFill/>
        </a:ln>
      </c:spPr>
    </c:title>
    <c:autoTitleDeleted val="0"/>
    <c:plotArea>
      <c:layout/>
      <c:lineChart>
        <c:grouping val="standard"/>
        <c:varyColors val="0"/>
        <c:ser>
          <c:idx val="0"/>
          <c:order val="0"/>
          <c:tx>
            <c:strRef>
              <c:f>'3 - Charts &amp; Curves'!$B$189</c:f>
              <c:strCache>
                <c:ptCount val="1"/>
                <c:pt idx="0">
                  <c:v>M0 (0% SCBA, 4M)</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Curves'!$B$190:$B$194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0-74A5-4AB1-BCFE-207C571050D8}"/>
            </c:ext>
          </c:extLst>
        </c:ser>
        <c:ser>
          <c:idx val="1"/>
          <c:order val="1"/>
          <c:tx>
            <c:strRef>
              <c:f>'3 - Charts &amp; Curves'!$C$189</c:f>
              <c:strCache>
                <c:ptCount val="1"/>
                <c:pt idx="0">
                  <c:v>M1 (5% SCBA, 4M)</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Curves'!$C$190:$C$194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1-74A5-4AB1-BCFE-207C571050D8}"/>
            </c:ext>
          </c:extLst>
        </c:ser>
        <c:ser>
          <c:idx val="2"/>
          <c:order val="2"/>
          <c:tx>
            <c:strRef>
              <c:f>'3 - Charts &amp; Curves'!$D$189</c:f>
              <c:strCache>
                <c:ptCount val="1"/>
                <c:pt idx="0">
                  <c:v>M2 (10% SCBA, 4M)</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Curves'!$D$190:$D$194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2-74A5-4AB1-BCFE-207C571050D8}"/>
            </c:ext>
          </c:extLst>
        </c:ser>
        <c:ser>
          <c:idx val="3"/>
          <c:order val="3"/>
          <c:tx>
            <c:strRef>
              <c:f>'3 - Charts &amp; Curves'!$E$189</c:f>
              <c:strCache>
                <c:ptCount val="1"/>
                <c:pt idx="0">
                  <c:v>M3 (15% SCBA, 4M)</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Curves'!$E$190:$E$194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3-74A5-4AB1-BCFE-207C571050D8}"/>
            </c:ext>
          </c:extLst>
        </c:ser>
        <c:ser>
          <c:idx val="4"/>
          <c:order val="4"/>
          <c:tx>
            <c:strRef>
              <c:f>'3 - Charts &amp; Curves'!$F$189</c:f>
              <c:strCache>
                <c:ptCount val="1"/>
                <c:pt idx="0">
                  <c:v>M4 (20% SCBA, 4M)</c:v>
                </c:pt>
              </c:strCache>
            </c:strRef>
          </c:tx>
          <c:spPr>
            <a:ln w="21960">
              <a:solidFill>
                <a:srgbClr val="F4B183"/>
              </a:solidFill>
              <a:round/>
            </a:ln>
          </c:spPr>
          <c:marker>
            <c:symbol val="circle"/>
            <c:size val="6"/>
            <c:spPr>
              <a:solidFill>
                <a:srgbClr val="F4B183"/>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Curves'!$F$190:$F$194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4-74A5-4AB1-BCFE-207C571050D8}"/>
            </c:ext>
          </c:extLst>
        </c:ser>
        <c:ser>
          <c:idx val="5"/>
          <c:order val="5"/>
          <c:tx>
            <c:strRef>
              <c:f>'3 - Charts &amp; Curves'!$G$189</c:f>
              <c:strCache>
                <c:ptCount val="1"/>
                <c:pt idx="0">
                  <c:v>M5 (25% SCBA, 4M)</c:v>
                </c:pt>
              </c:strCache>
            </c:strRef>
          </c:tx>
          <c:spPr>
            <a:ln w="21960">
              <a:solidFill>
                <a:srgbClr val="548235"/>
              </a:solidFill>
              <a:round/>
            </a:ln>
          </c:spPr>
          <c:marker>
            <c:symbol val="circle"/>
            <c:size val="6"/>
            <c:spPr>
              <a:solidFill>
                <a:srgbClr val="54823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Curves'!$G$190:$G$194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5-74A5-4AB1-BCFE-207C571050D8}"/>
            </c:ext>
          </c:extLst>
        </c:ser>
        <c:dLbls>
          <c:showLegendKey val="0"/>
          <c:showVal val="0"/>
          <c:showCatName val="0"/>
          <c:showSerName val="0"/>
          <c:showPercent val="0"/>
          <c:showBubbleSize val="0"/>
        </c:dLbls>
        <c:hiLowLines>
          <c:spPr>
            <a:ln w="0">
              <a:noFill/>
            </a:ln>
          </c:spPr>
        </c:hiLowLines>
        <c:marker val="1"/>
        <c:smooth val="0"/>
        <c:axId val="93400653"/>
        <c:axId val="48776655"/>
      </c:lineChart>
      <c:catAx>
        <c:axId val="93400653"/>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776655"/>
        <c:crosses val="autoZero"/>
        <c:auto val="1"/>
        <c:lblAlgn val="ctr"/>
        <c:lblOffset val="100"/>
        <c:noMultiLvlLbl val="0"/>
      </c:catAx>
      <c:valAx>
        <c:axId val="48776655"/>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40065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Strength vs Temperature — 6M NaOH (M6–M11)</a:t>
            </a:r>
          </a:p>
        </c:rich>
      </c:tx>
      <c:overlay val="0"/>
      <c:spPr>
        <a:noFill/>
        <a:ln w="0">
          <a:noFill/>
        </a:ln>
      </c:spPr>
    </c:title>
    <c:autoTitleDeleted val="0"/>
    <c:plotArea>
      <c:layout/>
      <c:lineChart>
        <c:grouping val="standard"/>
        <c:varyColors val="0"/>
        <c:ser>
          <c:idx val="0"/>
          <c:order val="0"/>
          <c:tx>
            <c:strRef>
              <c:f>'3 - Charts &amp; Curves'!$H$189</c:f>
              <c:strCache>
                <c:ptCount val="1"/>
                <c:pt idx="0">
                  <c:v>M6 (0% SCBA, 6M)</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Curves'!$H$190:$H$194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0-0130-44FB-9B1B-F186661C90C4}"/>
            </c:ext>
          </c:extLst>
        </c:ser>
        <c:ser>
          <c:idx val="1"/>
          <c:order val="1"/>
          <c:tx>
            <c:strRef>
              <c:f>'3 - Charts &amp; Curves'!$I$189</c:f>
              <c:strCache>
                <c:ptCount val="1"/>
                <c:pt idx="0">
                  <c:v>M7 (5% SCBA, 6M)</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Curves'!$I$190:$I$194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1-0130-44FB-9B1B-F186661C90C4}"/>
            </c:ext>
          </c:extLst>
        </c:ser>
        <c:ser>
          <c:idx val="2"/>
          <c:order val="2"/>
          <c:tx>
            <c:strRef>
              <c:f>'3 - Charts &amp; Curves'!$J$189</c:f>
              <c:strCache>
                <c:ptCount val="1"/>
                <c:pt idx="0">
                  <c:v>M8 (10% SCBA, 6M)</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Curves'!$J$190:$J$194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2-0130-44FB-9B1B-F186661C90C4}"/>
            </c:ext>
          </c:extLst>
        </c:ser>
        <c:ser>
          <c:idx val="3"/>
          <c:order val="3"/>
          <c:tx>
            <c:strRef>
              <c:f>'3 - Charts &amp; Curves'!$K$189</c:f>
              <c:strCache>
                <c:ptCount val="1"/>
                <c:pt idx="0">
                  <c:v>M9 (15% SCBA, 6M)</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Curves'!$K$190:$K$194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3-0130-44FB-9B1B-F186661C90C4}"/>
            </c:ext>
          </c:extLst>
        </c:ser>
        <c:ser>
          <c:idx val="4"/>
          <c:order val="4"/>
          <c:tx>
            <c:strRef>
              <c:f>'3 - Charts &amp; Curves'!$L$189</c:f>
              <c:strCache>
                <c:ptCount val="1"/>
                <c:pt idx="0">
                  <c:v>M10 (20% SCBA, 6M)</c:v>
                </c:pt>
              </c:strCache>
            </c:strRef>
          </c:tx>
          <c:spPr>
            <a:ln w="21960">
              <a:solidFill>
                <a:srgbClr val="F4B183"/>
              </a:solidFill>
              <a:round/>
            </a:ln>
          </c:spPr>
          <c:marker>
            <c:symbol val="circle"/>
            <c:size val="6"/>
            <c:spPr>
              <a:solidFill>
                <a:srgbClr val="F4B183"/>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Curves'!$L$190:$L$194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4-0130-44FB-9B1B-F186661C90C4}"/>
            </c:ext>
          </c:extLst>
        </c:ser>
        <c:ser>
          <c:idx val="5"/>
          <c:order val="5"/>
          <c:tx>
            <c:strRef>
              <c:f>'3 - Charts &amp; Curves'!$M$189</c:f>
              <c:strCache>
                <c:ptCount val="1"/>
                <c:pt idx="0">
                  <c:v>M11 (25% SCBA, 6M)</c:v>
                </c:pt>
              </c:strCache>
            </c:strRef>
          </c:tx>
          <c:spPr>
            <a:ln w="21960">
              <a:solidFill>
                <a:srgbClr val="548235"/>
              </a:solidFill>
              <a:round/>
            </a:ln>
          </c:spPr>
          <c:marker>
            <c:symbol val="circle"/>
            <c:size val="6"/>
            <c:spPr>
              <a:solidFill>
                <a:srgbClr val="54823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Curves'!$M$190:$M$194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5-0130-44FB-9B1B-F186661C90C4}"/>
            </c:ext>
          </c:extLst>
        </c:ser>
        <c:dLbls>
          <c:showLegendKey val="0"/>
          <c:showVal val="0"/>
          <c:showCatName val="0"/>
          <c:showSerName val="0"/>
          <c:showPercent val="0"/>
          <c:showBubbleSize val="0"/>
        </c:dLbls>
        <c:hiLowLines>
          <c:spPr>
            <a:ln w="0">
              <a:noFill/>
            </a:ln>
          </c:spPr>
        </c:hiLowLines>
        <c:marker val="1"/>
        <c:smooth val="0"/>
        <c:axId val="44205598"/>
        <c:axId val="91421300"/>
      </c:lineChart>
      <c:catAx>
        <c:axId val="4420559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421300"/>
        <c:crosses val="autoZero"/>
        <c:auto val="1"/>
        <c:lblAlgn val="ctr"/>
        <c:lblOffset val="100"/>
        <c:noMultiLvlLbl val="0"/>
      </c:catAx>
      <c:valAx>
        <c:axId val="91421300"/>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20559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Strength vs SCBA % — 4M NaOH</a:t>
            </a:r>
          </a:p>
        </c:rich>
      </c:tx>
      <c:overlay val="0"/>
      <c:spPr>
        <a:noFill/>
        <a:ln w="0">
          <a:noFill/>
        </a:ln>
      </c:spPr>
    </c:title>
    <c:autoTitleDeleted val="0"/>
    <c:plotArea>
      <c:layout/>
      <c:lineChart>
        <c:grouping val="standard"/>
        <c:varyColors val="0"/>
        <c:ser>
          <c:idx val="0"/>
          <c:order val="0"/>
          <c:tx>
            <c:strRef>
              <c:f>'3 - Charts &amp; Curves'!$B$207</c:f>
              <c:strCache>
                <c:ptCount val="1"/>
                <c:pt idx="0">
                  <c:v>200°C</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Curves'!$A$208:$A$213</c:f>
              <c:numCache>
                <c:formatCode>0\%</c:formatCode>
                <c:ptCount val="6"/>
                <c:pt idx="0">
                  <c:v>0</c:v>
                </c:pt>
                <c:pt idx="1">
                  <c:v>5</c:v>
                </c:pt>
                <c:pt idx="2">
                  <c:v>10</c:v>
                </c:pt>
                <c:pt idx="3">
                  <c:v>15</c:v>
                </c:pt>
                <c:pt idx="4">
                  <c:v>20</c:v>
                </c:pt>
                <c:pt idx="5">
                  <c:v>25</c:v>
                </c:pt>
              </c:numCache>
            </c:numRef>
          </c:cat>
          <c:val>
            <c:numRef>
              <c:f>'3 - Charts &amp; Curves'!$B$208:$B$213</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0-9F5D-4D70-AEC8-0C47EE6AA761}"/>
            </c:ext>
          </c:extLst>
        </c:ser>
        <c:ser>
          <c:idx val="1"/>
          <c:order val="1"/>
          <c:tx>
            <c:strRef>
              <c:f>'3 - Charts &amp; Curves'!$C$207</c:f>
              <c:strCache>
                <c:ptCount val="1"/>
                <c:pt idx="0">
                  <c:v>400°C</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Curves'!$A$208:$A$213</c:f>
              <c:numCache>
                <c:formatCode>0\%</c:formatCode>
                <c:ptCount val="6"/>
                <c:pt idx="0">
                  <c:v>0</c:v>
                </c:pt>
                <c:pt idx="1">
                  <c:v>5</c:v>
                </c:pt>
                <c:pt idx="2">
                  <c:v>10</c:v>
                </c:pt>
                <c:pt idx="3">
                  <c:v>15</c:v>
                </c:pt>
                <c:pt idx="4">
                  <c:v>20</c:v>
                </c:pt>
                <c:pt idx="5">
                  <c:v>25</c:v>
                </c:pt>
              </c:numCache>
            </c:numRef>
          </c:cat>
          <c:val>
            <c:numRef>
              <c:f>'3 - Charts &amp; Curves'!$C$208:$C$213</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1-9F5D-4D70-AEC8-0C47EE6AA761}"/>
            </c:ext>
          </c:extLst>
        </c:ser>
        <c:ser>
          <c:idx val="2"/>
          <c:order val="2"/>
          <c:tx>
            <c:strRef>
              <c:f>'3 - Charts &amp; Curves'!$D$207</c:f>
              <c:strCache>
                <c:ptCount val="1"/>
                <c:pt idx="0">
                  <c:v>600°C</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Curves'!$A$208:$A$213</c:f>
              <c:numCache>
                <c:formatCode>0\%</c:formatCode>
                <c:ptCount val="6"/>
                <c:pt idx="0">
                  <c:v>0</c:v>
                </c:pt>
                <c:pt idx="1">
                  <c:v>5</c:v>
                </c:pt>
                <c:pt idx="2">
                  <c:v>10</c:v>
                </c:pt>
                <c:pt idx="3">
                  <c:v>15</c:v>
                </c:pt>
                <c:pt idx="4">
                  <c:v>20</c:v>
                </c:pt>
                <c:pt idx="5">
                  <c:v>25</c:v>
                </c:pt>
              </c:numCache>
            </c:numRef>
          </c:cat>
          <c:val>
            <c:numRef>
              <c:f>'3 - Charts &amp; Curves'!$D$208:$D$213</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2-9F5D-4D70-AEC8-0C47EE6AA761}"/>
            </c:ext>
          </c:extLst>
        </c:ser>
        <c:ser>
          <c:idx val="3"/>
          <c:order val="3"/>
          <c:tx>
            <c:strRef>
              <c:f>'3 - Charts &amp; Curves'!$E$207</c:f>
              <c:strCache>
                <c:ptCount val="1"/>
                <c:pt idx="0">
                  <c:v>800°C</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Curves'!$A$208:$A$213</c:f>
              <c:numCache>
                <c:formatCode>0\%</c:formatCode>
                <c:ptCount val="6"/>
                <c:pt idx="0">
                  <c:v>0</c:v>
                </c:pt>
                <c:pt idx="1">
                  <c:v>5</c:v>
                </c:pt>
                <c:pt idx="2">
                  <c:v>10</c:v>
                </c:pt>
                <c:pt idx="3">
                  <c:v>15</c:v>
                </c:pt>
                <c:pt idx="4">
                  <c:v>20</c:v>
                </c:pt>
                <c:pt idx="5">
                  <c:v>25</c:v>
                </c:pt>
              </c:numCache>
            </c:numRef>
          </c:cat>
          <c:val>
            <c:numRef>
              <c:f>'3 - Charts &amp; Curves'!$E$208:$E$213</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3-9F5D-4D70-AEC8-0C47EE6AA761}"/>
            </c:ext>
          </c:extLst>
        </c:ser>
        <c:dLbls>
          <c:showLegendKey val="0"/>
          <c:showVal val="0"/>
          <c:showCatName val="0"/>
          <c:showSerName val="0"/>
          <c:showPercent val="0"/>
          <c:showBubbleSize val="0"/>
        </c:dLbls>
        <c:hiLowLines>
          <c:spPr>
            <a:ln w="0">
              <a:noFill/>
            </a:ln>
          </c:spPr>
        </c:hiLowLines>
        <c:marker val="1"/>
        <c:smooth val="0"/>
        <c:axId val="39689803"/>
        <c:axId val="52303612"/>
      </c:lineChart>
      <c:catAx>
        <c:axId val="39689803"/>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SCBA replacement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303612"/>
        <c:crosses val="autoZero"/>
        <c:auto val="1"/>
        <c:lblAlgn val="ctr"/>
        <c:lblOffset val="100"/>
        <c:noMultiLvlLbl val="0"/>
      </c:catAx>
      <c:valAx>
        <c:axId val="52303612"/>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68980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Strength vs SCBA % — 6M NaOH</a:t>
            </a:r>
          </a:p>
        </c:rich>
      </c:tx>
      <c:overlay val="0"/>
      <c:spPr>
        <a:noFill/>
        <a:ln w="0">
          <a:noFill/>
        </a:ln>
      </c:spPr>
    </c:title>
    <c:autoTitleDeleted val="0"/>
    <c:plotArea>
      <c:layout/>
      <c:lineChart>
        <c:grouping val="standard"/>
        <c:varyColors val="0"/>
        <c:ser>
          <c:idx val="0"/>
          <c:order val="0"/>
          <c:tx>
            <c:strRef>
              <c:f>'3 - Charts &amp; Curves'!$B$216</c:f>
              <c:strCache>
                <c:ptCount val="1"/>
                <c:pt idx="0">
                  <c:v>200°C</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Curves'!$A$217:$A$222</c:f>
              <c:numCache>
                <c:formatCode>0\%</c:formatCode>
                <c:ptCount val="6"/>
                <c:pt idx="0">
                  <c:v>0</c:v>
                </c:pt>
                <c:pt idx="1">
                  <c:v>5</c:v>
                </c:pt>
                <c:pt idx="2">
                  <c:v>10</c:v>
                </c:pt>
                <c:pt idx="3">
                  <c:v>15</c:v>
                </c:pt>
                <c:pt idx="4">
                  <c:v>20</c:v>
                </c:pt>
                <c:pt idx="5">
                  <c:v>25</c:v>
                </c:pt>
              </c:numCache>
            </c:numRef>
          </c:cat>
          <c:val>
            <c:numRef>
              <c:f>'3 - Charts &amp; Curves'!$B$217:$B$222</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0-02AB-4453-9478-79001A4351CA}"/>
            </c:ext>
          </c:extLst>
        </c:ser>
        <c:ser>
          <c:idx val="1"/>
          <c:order val="1"/>
          <c:tx>
            <c:strRef>
              <c:f>'3 - Charts &amp; Curves'!$C$216</c:f>
              <c:strCache>
                <c:ptCount val="1"/>
                <c:pt idx="0">
                  <c:v>400°C</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Curves'!$A$217:$A$222</c:f>
              <c:numCache>
                <c:formatCode>0\%</c:formatCode>
                <c:ptCount val="6"/>
                <c:pt idx="0">
                  <c:v>0</c:v>
                </c:pt>
                <c:pt idx="1">
                  <c:v>5</c:v>
                </c:pt>
                <c:pt idx="2">
                  <c:v>10</c:v>
                </c:pt>
                <c:pt idx="3">
                  <c:v>15</c:v>
                </c:pt>
                <c:pt idx="4">
                  <c:v>20</c:v>
                </c:pt>
                <c:pt idx="5">
                  <c:v>25</c:v>
                </c:pt>
              </c:numCache>
            </c:numRef>
          </c:cat>
          <c:val>
            <c:numRef>
              <c:f>'3 - Charts &amp; Curves'!$C$217:$C$222</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1-02AB-4453-9478-79001A4351CA}"/>
            </c:ext>
          </c:extLst>
        </c:ser>
        <c:ser>
          <c:idx val="2"/>
          <c:order val="2"/>
          <c:tx>
            <c:strRef>
              <c:f>'3 - Charts &amp; Curves'!$D$216</c:f>
              <c:strCache>
                <c:ptCount val="1"/>
                <c:pt idx="0">
                  <c:v>600°C</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Curves'!$A$217:$A$222</c:f>
              <c:numCache>
                <c:formatCode>0\%</c:formatCode>
                <c:ptCount val="6"/>
                <c:pt idx="0">
                  <c:v>0</c:v>
                </c:pt>
                <c:pt idx="1">
                  <c:v>5</c:v>
                </c:pt>
                <c:pt idx="2">
                  <c:v>10</c:v>
                </c:pt>
                <c:pt idx="3">
                  <c:v>15</c:v>
                </c:pt>
                <c:pt idx="4">
                  <c:v>20</c:v>
                </c:pt>
                <c:pt idx="5">
                  <c:v>25</c:v>
                </c:pt>
              </c:numCache>
            </c:numRef>
          </c:cat>
          <c:val>
            <c:numRef>
              <c:f>'3 - Charts &amp; Curves'!$D$217:$D$222</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2-02AB-4453-9478-79001A4351CA}"/>
            </c:ext>
          </c:extLst>
        </c:ser>
        <c:ser>
          <c:idx val="3"/>
          <c:order val="3"/>
          <c:tx>
            <c:strRef>
              <c:f>'3 - Charts &amp; Curves'!$E$216</c:f>
              <c:strCache>
                <c:ptCount val="1"/>
                <c:pt idx="0">
                  <c:v>800°C</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'3 - Charts &amp; Curves'!$A$217:$A$222</c:f>
              <c:numCache>
                <c:formatCode>0\%</c:formatCode>
                <c:ptCount val="6"/>
                <c:pt idx="0">
                  <c:v>0</c:v>
                </c:pt>
                <c:pt idx="1">
                  <c:v>5</c:v>
                </c:pt>
                <c:pt idx="2">
                  <c:v>10</c:v>
                </c:pt>
                <c:pt idx="3">
                  <c:v>15</c:v>
                </c:pt>
                <c:pt idx="4">
                  <c:v>20</c:v>
                </c:pt>
                <c:pt idx="5">
                  <c:v>25</c:v>
                </c:pt>
              </c:numCache>
            </c:numRef>
          </c:cat>
          <c:val>
            <c:numRef>
              <c:f>'3 - Charts &amp; Curves'!$E$217:$E$222</c:f>
              <c:numCache>
                <c:formatCode>0.00</c:formatCode>
                <c:ptCount val="6"/>
                <c:pt idx="0">
                  <c:v>#N/A</c:v>
                </c:pt>
                <c:pt idx="1">
                  <c:v>#N/A</c:v>
                </c:pt>
                <c:pt idx="2">
                  <c:v>#N/A</c:v>
                </c:pt>
                <c:pt idx="3">
                  <c:v>#N/A</c:v>
                </c:pt>
                <c:pt idx="4">
                  <c:v>#N/A</c:v>
                </c:pt>
                <c:pt idx="5">
                  <c:v>#N/A</c:v>
                </c:pt>
              </c:numCache>
            </c:numRef>
          </c:val>
          <c:smooth val="1"/>
          <c:extLst>
            <c:ext xmlns:c16="http://schemas.microsoft.com/office/drawing/2014/chart" uri="{C3380CC4-5D6E-409C-BE32-E72D297353CC}">
              <c16:uniqueId val="{00000003-02AB-4453-9478-79001A4351CA}"/>
            </c:ext>
          </c:extLst>
        </c:ser>
        <c:dLbls>
          <c:showLegendKey val="0"/>
          <c:showVal val="0"/>
          <c:showCatName val="0"/>
          <c:showSerName val="0"/>
          <c:showPercent val="0"/>
          <c:showBubbleSize val="0"/>
        </c:dLbls>
        <c:hiLowLines>
          <c:spPr>
            <a:ln w="0">
              <a:noFill/>
            </a:ln>
          </c:spPr>
        </c:hiLowLines>
        <c:marker val="1"/>
        <c:smooth val="0"/>
        <c:axId val="30792440"/>
        <c:axId val="70818923"/>
      </c:lineChart>
      <c:catAx>
        <c:axId val="30792440"/>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SCBA replacement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818923"/>
        <c:crosses val="autoZero"/>
        <c:auto val="1"/>
        <c:lblAlgn val="ctr"/>
        <c:lblOffset val="100"/>
        <c:noMultiLvlLbl val="0"/>
      </c:catAx>
      <c:valAx>
        <c:axId val="70818923"/>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79244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Mass Loss vs Temperature — 4M NaOH (M0–M5)</a:t>
            </a:r>
          </a:p>
        </c:rich>
      </c:tx>
      <c:overlay val="0"/>
      <c:spPr>
        <a:noFill/>
        <a:ln w="0">
          <a:noFill/>
        </a:ln>
      </c:spPr>
    </c:title>
    <c:autoTitleDeleted val="0"/>
    <c:plotArea>
      <c:layout/>
      <c:lineChart>
        <c:grouping val="standard"/>
        <c:varyColors val="0"/>
        <c:ser>
          <c:idx val="0"/>
          <c:order val="0"/>
          <c:tx>
            <c:strRef>
              <c:f>'3 - Charts &amp; Curves'!$B$198</c:f>
              <c:strCache>
                <c:ptCount val="1"/>
                <c:pt idx="0">
                  <c:v>M0 (0% SCBA, 4M)</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Curves'!$B$199:$B$203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0-4B36-4B21-98D5-B04E306F0850}"/>
            </c:ext>
          </c:extLst>
        </c:ser>
        <c:ser>
          <c:idx val="1"/>
          <c:order val="1"/>
          <c:tx>
            <c:strRef>
              <c:f>'3 - Charts &amp; Curves'!$C$198</c:f>
              <c:strCache>
                <c:ptCount val="1"/>
                <c:pt idx="0">
                  <c:v>M1 (5% SCBA, 4M)</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Curves'!$C$199:$C$203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1-4B36-4B21-98D5-B04E306F0850}"/>
            </c:ext>
          </c:extLst>
        </c:ser>
        <c:ser>
          <c:idx val="2"/>
          <c:order val="2"/>
          <c:tx>
            <c:strRef>
              <c:f>'3 - Charts &amp; Curves'!$D$198</c:f>
              <c:strCache>
                <c:ptCount val="1"/>
                <c:pt idx="0">
                  <c:v>M2 (10% SCBA, 4M)</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Curves'!$D$199:$D$203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2-4B36-4B21-98D5-B04E306F0850}"/>
            </c:ext>
          </c:extLst>
        </c:ser>
        <c:ser>
          <c:idx val="3"/>
          <c:order val="3"/>
          <c:tx>
            <c:strRef>
              <c:f>'3 - Charts &amp; Curves'!$E$198</c:f>
              <c:strCache>
                <c:ptCount val="1"/>
                <c:pt idx="0">
                  <c:v>M3 (15% SCBA, 4M)</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Curves'!$E$199:$E$203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3-4B36-4B21-98D5-B04E306F0850}"/>
            </c:ext>
          </c:extLst>
        </c:ser>
        <c:ser>
          <c:idx val="4"/>
          <c:order val="4"/>
          <c:tx>
            <c:strRef>
              <c:f>'3 - Charts &amp; Curves'!$F$198</c:f>
              <c:strCache>
                <c:ptCount val="1"/>
                <c:pt idx="0">
                  <c:v>M4 (20% SCBA, 4M)</c:v>
                </c:pt>
              </c:strCache>
            </c:strRef>
          </c:tx>
          <c:spPr>
            <a:ln w="21960">
              <a:solidFill>
                <a:srgbClr val="F4B183"/>
              </a:solidFill>
              <a:round/>
            </a:ln>
          </c:spPr>
          <c:marker>
            <c:symbol val="circle"/>
            <c:size val="6"/>
            <c:spPr>
              <a:solidFill>
                <a:srgbClr val="F4B183"/>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Curves'!$F$199:$F$203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4-4B36-4B21-98D5-B04E306F0850}"/>
            </c:ext>
          </c:extLst>
        </c:ser>
        <c:ser>
          <c:idx val="5"/>
          <c:order val="5"/>
          <c:tx>
            <c:strRef>
              <c:f>'3 - Charts &amp; Curves'!$G$198</c:f>
              <c:strCache>
                <c:ptCount val="1"/>
                <c:pt idx="0">
                  <c:v>M5 (25% SCBA, 4M)</c:v>
                </c:pt>
              </c:strCache>
            </c:strRef>
          </c:tx>
          <c:spPr>
            <a:ln w="21960">
              <a:solidFill>
                <a:srgbClr val="548235"/>
              </a:solidFill>
              <a:round/>
            </a:ln>
          </c:spPr>
          <c:marker>
            <c:symbol val="circle"/>
            <c:size val="6"/>
            <c:spPr>
              <a:solidFill>
                <a:srgbClr val="54823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Curves'!$G$199:$G$203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5-4B36-4B21-98D5-B04E306F0850}"/>
            </c:ext>
          </c:extLst>
        </c:ser>
        <c:dLbls>
          <c:showLegendKey val="0"/>
          <c:showVal val="0"/>
          <c:showCatName val="0"/>
          <c:showSerName val="0"/>
          <c:showPercent val="0"/>
          <c:showBubbleSize val="0"/>
        </c:dLbls>
        <c:hiLowLines>
          <c:spPr>
            <a:ln w="0">
              <a:noFill/>
            </a:ln>
          </c:spPr>
        </c:hiLowLines>
        <c:marker val="1"/>
        <c:smooth val="0"/>
        <c:axId val="57189357"/>
        <c:axId val="52676320"/>
      </c:lineChart>
      <c:catAx>
        <c:axId val="5718935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676320"/>
        <c:crosses val="autoZero"/>
        <c:auto val="1"/>
        <c:lblAlgn val="ctr"/>
        <c:lblOffset val="100"/>
        <c:noMultiLvlLbl val="0"/>
      </c:catAx>
      <c:valAx>
        <c:axId val="52676320"/>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Mass loss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18935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Mass Loss vs Temperature — 6M NaOH (M6–M11)</a:t>
            </a:r>
          </a:p>
        </c:rich>
      </c:tx>
      <c:overlay val="0"/>
      <c:spPr>
        <a:noFill/>
        <a:ln w="0">
          <a:noFill/>
        </a:ln>
      </c:spPr>
    </c:title>
    <c:autoTitleDeleted val="0"/>
    <c:plotArea>
      <c:layout/>
      <c:lineChart>
        <c:grouping val="standard"/>
        <c:varyColors val="0"/>
        <c:ser>
          <c:idx val="0"/>
          <c:order val="0"/>
          <c:tx>
            <c:strRef>
              <c:f>'3 - Charts &amp; Curves'!$H$198</c:f>
              <c:strCache>
                <c:ptCount val="1"/>
                <c:pt idx="0">
                  <c:v>M6 (0% SCBA, 6M)</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Curves'!$H$199:$H$203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0-42C0-483B-A8F0-5585859ABA07}"/>
            </c:ext>
          </c:extLst>
        </c:ser>
        <c:ser>
          <c:idx val="1"/>
          <c:order val="1"/>
          <c:tx>
            <c:strRef>
              <c:f>'3 - Charts &amp; Curves'!$I$198</c:f>
              <c:strCache>
                <c:ptCount val="1"/>
                <c:pt idx="0">
                  <c:v>M7 (5% SCBA, 6M)</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Curves'!$I$199:$I$203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1-42C0-483B-A8F0-5585859ABA07}"/>
            </c:ext>
          </c:extLst>
        </c:ser>
        <c:ser>
          <c:idx val="2"/>
          <c:order val="2"/>
          <c:tx>
            <c:strRef>
              <c:f>'3 - Charts &amp; Curves'!$J$198</c:f>
              <c:strCache>
                <c:ptCount val="1"/>
                <c:pt idx="0">
                  <c:v>M8 (10% SCBA, 6M)</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Curves'!$J$199:$J$203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2-42C0-483B-A8F0-5585859ABA07}"/>
            </c:ext>
          </c:extLst>
        </c:ser>
        <c:ser>
          <c:idx val="3"/>
          <c:order val="3"/>
          <c:tx>
            <c:strRef>
              <c:f>'3 - Charts &amp; Curves'!$K$198</c:f>
              <c:strCache>
                <c:ptCount val="1"/>
                <c:pt idx="0">
                  <c:v>M9 (15% SCBA, 6M)</c:v>
                </c:pt>
              </c:strCache>
            </c:strRef>
          </c:tx>
          <c:spPr>
            <a:ln w="21960">
              <a:solidFill>
                <a:srgbClr val="C55A11"/>
              </a:solidFill>
              <a:round/>
            </a:ln>
          </c:spPr>
          <c:marker>
            <c:symbol val="circle"/>
            <c:size val="6"/>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Curves'!$K$199:$K$203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3-42C0-483B-A8F0-5585859ABA07}"/>
            </c:ext>
          </c:extLst>
        </c:ser>
        <c:ser>
          <c:idx val="4"/>
          <c:order val="4"/>
          <c:tx>
            <c:strRef>
              <c:f>'3 - Charts &amp; Curves'!$L$198</c:f>
              <c:strCache>
                <c:ptCount val="1"/>
                <c:pt idx="0">
                  <c:v>M10 (20% SCBA, 6M)</c:v>
                </c:pt>
              </c:strCache>
            </c:strRef>
          </c:tx>
          <c:spPr>
            <a:ln w="21960">
              <a:solidFill>
                <a:srgbClr val="F4B183"/>
              </a:solidFill>
              <a:round/>
            </a:ln>
          </c:spPr>
          <c:marker>
            <c:symbol val="circle"/>
            <c:size val="6"/>
            <c:spPr>
              <a:solidFill>
                <a:srgbClr val="F4B183"/>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Curves'!$L$199:$L$203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4-42C0-483B-A8F0-5585859ABA07}"/>
            </c:ext>
          </c:extLst>
        </c:ser>
        <c:ser>
          <c:idx val="5"/>
          <c:order val="5"/>
          <c:tx>
            <c:strRef>
              <c:f>'3 - Charts &amp; Curves'!$M$198</c:f>
              <c:strCache>
                <c:ptCount val="1"/>
                <c:pt idx="0">
                  <c:v>M11 (25% SCBA, 6M)</c:v>
                </c:pt>
              </c:strCache>
            </c:strRef>
          </c:tx>
          <c:spPr>
            <a:ln w="21960">
              <a:solidFill>
                <a:srgbClr val="548235"/>
              </a:solidFill>
              <a:round/>
            </a:ln>
          </c:spPr>
          <c:marker>
            <c:symbol val="circle"/>
            <c:size val="6"/>
            <c:spPr>
              <a:solidFill>
                <a:srgbClr val="548235"/>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Curves'!$A$199:$A$203</c:f>
              <c:strCache>
                <c:ptCount val="5"/>
                <c:pt idx="0">
                  <c:v>25°C (Ambient)</c:v>
                </c:pt>
                <c:pt idx="1">
                  <c:v>200°C</c:v>
                </c:pt>
                <c:pt idx="2">
                  <c:v>400°C</c:v>
                </c:pt>
                <c:pt idx="3">
                  <c:v>600°C</c:v>
                </c:pt>
                <c:pt idx="4">
                  <c:v>800°C</c:v>
                </c:pt>
              </c:strCache>
            </c:strRef>
          </c:cat>
          <c:val>
            <c:numRef>
              <c:f>'3 - Charts &amp; Curves'!$M$199:$M$203</c:f>
              <c:numCache>
                <c:formatCode>0.00</c:formatCode>
                <c:ptCount val="5"/>
                <c:pt idx="0">
                  <c:v>0</c:v>
                </c:pt>
                <c:pt idx="1">
                  <c:v>#N/A</c:v>
                </c:pt>
                <c:pt idx="2">
                  <c:v>#N/A</c:v>
                </c:pt>
                <c:pt idx="3">
                  <c:v>#N/A</c:v>
                </c:pt>
                <c:pt idx="4">
                  <c:v>#N/A</c:v>
                </c:pt>
              </c:numCache>
            </c:numRef>
          </c:val>
          <c:smooth val="1"/>
          <c:extLst>
            <c:ext xmlns:c16="http://schemas.microsoft.com/office/drawing/2014/chart" uri="{C3380CC4-5D6E-409C-BE32-E72D297353CC}">
              <c16:uniqueId val="{00000005-42C0-483B-A8F0-5585859ABA07}"/>
            </c:ext>
          </c:extLst>
        </c:ser>
        <c:dLbls>
          <c:showLegendKey val="0"/>
          <c:showVal val="0"/>
          <c:showCatName val="0"/>
          <c:showSerName val="0"/>
          <c:showPercent val="0"/>
          <c:showBubbleSize val="0"/>
        </c:dLbls>
        <c:hiLowLines>
          <c:spPr>
            <a:ln w="0">
              <a:noFill/>
            </a:ln>
          </c:spPr>
        </c:hiLowLines>
        <c:marker val="1"/>
        <c:smooth val="0"/>
        <c:axId val="47394736"/>
        <c:axId val="70970944"/>
      </c:lineChart>
      <c:catAx>
        <c:axId val="4739473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970944"/>
        <c:crosses val="autoZero"/>
        <c:auto val="1"/>
        <c:lblAlgn val="ctr"/>
        <c:lblOffset val="100"/>
        <c:noMultiLvlLbl val="0"/>
      </c:catAx>
      <c:valAx>
        <c:axId val="70970944"/>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Mass loss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39473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Strength (%) by Mix</a:t>
            </a:r>
          </a:p>
        </c:rich>
      </c:tx>
      <c:overlay val="0"/>
      <c:spPr>
        <a:noFill/>
        <a:ln w="0">
          <a:noFill/>
        </a:ln>
      </c:spPr>
    </c:title>
    <c:autoTitleDeleted val="0"/>
    <c:plotArea>
      <c:layout/>
      <c:barChart>
        <c:barDir val="col"/>
        <c:grouping val="clustered"/>
        <c:varyColors val="0"/>
        <c:ser>
          <c:idx val="0"/>
          <c:order val="0"/>
          <c:tx>
            <c:strRef>
              <c:f>'3 - Charts &amp; Curves'!$D$129</c:f>
              <c:strCache>
                <c:ptCount val="1"/>
                <c:pt idx="0">
                  <c:v>200°C</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Curves'!$A$130:$A$141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Curves'!$D$130:$D$141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9E4-42ED-891C-3FD88F4A5873}"/>
            </c:ext>
          </c:extLst>
        </c:ser>
        <c:ser>
          <c:idx val="1"/>
          <c:order val="1"/>
          <c:tx>
            <c:strRef>
              <c:f>'3 - Charts &amp; Curves'!$E$129</c:f>
              <c:strCache>
                <c:ptCount val="1"/>
                <c:pt idx="0">
                  <c:v>400°C</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Curves'!$A$130:$A$141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Curves'!$E$130:$E$141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9E4-42ED-891C-3FD88F4A5873}"/>
            </c:ext>
          </c:extLst>
        </c:ser>
        <c:ser>
          <c:idx val="2"/>
          <c:order val="2"/>
          <c:tx>
            <c:strRef>
              <c:f>'3 - Charts &amp; Curves'!$F$129</c:f>
              <c:strCache>
                <c:ptCount val="1"/>
                <c:pt idx="0">
                  <c:v>600°C</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Curves'!$A$130:$A$141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Curves'!$F$130:$F$141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69E4-42ED-891C-3FD88F4A5873}"/>
            </c:ext>
          </c:extLst>
        </c:ser>
        <c:ser>
          <c:idx val="3"/>
          <c:order val="3"/>
          <c:tx>
            <c:strRef>
              <c:f>'3 - Charts &amp; Curves'!$G$129</c:f>
              <c:strCache>
                <c:ptCount val="1"/>
                <c:pt idx="0">
                  <c:v>800°C</c:v>
                </c:pt>
              </c:strCache>
            </c:strRef>
          </c:tx>
          <c:spPr>
            <a:solidFill>
              <a:srgbClr val="C55A11"/>
            </a:solidFill>
            <a:ln w="0">
              <a:solidFill>
                <a:srgbClr val="C55A1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Curves'!$A$130:$A$141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Curves'!$G$130:$G$141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69E4-42ED-891C-3FD88F4A5873}"/>
            </c:ext>
          </c:extLst>
        </c:ser>
        <c:dLbls>
          <c:showLegendKey val="0"/>
          <c:showVal val="0"/>
          <c:showCatName val="0"/>
          <c:showSerName val="0"/>
          <c:showPercent val="0"/>
          <c:showBubbleSize val="0"/>
        </c:dLbls>
        <c:gapWidth val="60"/>
        <c:axId val="76611371"/>
        <c:axId val="13900288"/>
      </c:barChart>
      <c:catAx>
        <c:axId val="7661137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Mix ID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900288"/>
        <c:crosses val="autoZero"/>
        <c:auto val="1"/>
        <c:lblAlgn val="ctr"/>
        <c:lblOffset val="100"/>
        <c:noMultiLvlLbl val="0"/>
      </c:catAx>
      <c:valAx>
        <c:axId val="13900288"/>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61137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Mass Loss (%) by Mix</a:t>
            </a:r>
          </a:p>
        </c:rich>
      </c:tx>
      <c:overlay val="0"/>
      <c:spPr>
        <a:noFill/>
        <a:ln w="0">
          <a:noFill/>
        </a:ln>
      </c:spPr>
    </c:title>
    <c:autoTitleDeleted val="0"/>
    <c:plotArea>
      <c:layout/>
      <c:barChart>
        <c:barDir val="col"/>
        <c:grouping val="clustered"/>
        <c:varyColors val="0"/>
        <c:ser>
          <c:idx val="0"/>
          <c:order val="0"/>
          <c:tx>
            <c:strRef>
              <c:f>'3 - Charts &amp; Curves'!$D$144</c:f>
              <c:strCache>
                <c:ptCount val="1"/>
                <c:pt idx="0">
                  <c:v>200°C</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Curves'!$A$145:$A$156</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Curves'!$D$145:$D$156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3E5-458C-9EED-179D2E7235E4}"/>
            </c:ext>
          </c:extLst>
        </c:ser>
        <c:ser>
          <c:idx val="1"/>
          <c:order val="1"/>
          <c:tx>
            <c:strRef>
              <c:f>'3 - Charts &amp; Curves'!$E$144</c:f>
              <c:strCache>
                <c:ptCount val="1"/>
                <c:pt idx="0">
                  <c:v>400°C</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Curves'!$A$145:$A$156</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Curves'!$E$145:$E$156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3E5-458C-9EED-179D2E7235E4}"/>
            </c:ext>
          </c:extLst>
        </c:ser>
        <c:ser>
          <c:idx val="2"/>
          <c:order val="2"/>
          <c:tx>
            <c:strRef>
              <c:f>'3 - Charts &amp; Curves'!$F$144</c:f>
              <c:strCache>
                <c:ptCount val="1"/>
                <c:pt idx="0">
                  <c:v>600°C</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Curves'!$A$145:$A$156</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Curves'!$F$145:$F$156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43E5-458C-9EED-179D2E7235E4}"/>
            </c:ext>
          </c:extLst>
        </c:ser>
        <c:ser>
          <c:idx val="3"/>
          <c:order val="3"/>
          <c:tx>
            <c:strRef>
              <c:f>'3 - Charts &amp; Curves'!$G$144</c:f>
              <c:strCache>
                <c:ptCount val="1"/>
                <c:pt idx="0">
                  <c:v>800°C</c:v>
                </c:pt>
              </c:strCache>
            </c:strRef>
          </c:tx>
          <c:spPr>
            <a:solidFill>
              <a:srgbClr val="C55A11"/>
            </a:solidFill>
            <a:ln w="0">
              <a:solidFill>
                <a:srgbClr val="C55A1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Curves'!$A$145:$A$156</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Curves'!$G$145:$G$156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3E5-458C-9EED-179D2E7235E4}"/>
            </c:ext>
          </c:extLst>
        </c:ser>
        <c:dLbls>
          <c:showLegendKey val="0"/>
          <c:showVal val="0"/>
          <c:showCatName val="0"/>
          <c:showSerName val="0"/>
          <c:showPercent val="0"/>
          <c:showBubbleSize val="0"/>
        </c:dLbls>
        <c:gapWidth val="60"/>
        <c:axId val="85398592"/>
        <c:axId val="24721428"/>
      </c:barChart>
      <c:catAx>
        <c:axId val="85398592"/>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Mix ID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721428"/>
        <c:crosses val="autoZero"/>
        <c:auto val="1"/>
        <c:lblAlgn val="ctr"/>
        <c:lblOffset val="100"/>
        <c:noMultiLvlLbl val="0"/>
      </c:catAx>
      <c:valAx>
        <c:axId val="24721428"/>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Mass loss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39859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Residual Compressive Strength (MPa) by Mix</a:t>
            </a:r>
          </a:p>
        </c:rich>
      </c:tx>
      <c:overlay val="0"/>
      <c:spPr>
        <a:noFill/>
        <a:ln w="0">
          <a:noFill/>
        </a:ln>
      </c:spPr>
    </c:title>
    <c:autoTitleDeleted val="0"/>
    <c:plotArea>
      <c:layout/>
      <c:barChart>
        <c:barDir val="col"/>
        <c:grouping val="clustered"/>
        <c:varyColors val="0"/>
        <c:ser>
          <c:idx val="0"/>
          <c:order val="0"/>
          <c:tx>
            <c:strRef>
              <c:f>'3 - Charts &amp; Curves'!$D$159</c:f>
              <c:strCache>
                <c:ptCount val="1"/>
                <c:pt idx="0">
                  <c:v>200°C</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Curves'!$A$160:$A$171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Curves'!$D$160:$D$171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D57-4DC3-95E1-F5850F5B6238}"/>
            </c:ext>
          </c:extLst>
        </c:ser>
        <c:ser>
          <c:idx val="1"/>
          <c:order val="1"/>
          <c:tx>
            <c:strRef>
              <c:f>'3 - Charts &amp; Curves'!$E$159</c:f>
              <c:strCache>
                <c:ptCount val="1"/>
                <c:pt idx="0">
                  <c:v>400°C</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Curves'!$A$160:$A$171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Curves'!$E$160:$E$171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D57-4DC3-95E1-F5850F5B6238}"/>
            </c:ext>
          </c:extLst>
        </c:ser>
        <c:ser>
          <c:idx val="2"/>
          <c:order val="2"/>
          <c:tx>
            <c:strRef>
              <c:f>'3 - Charts &amp; Curves'!$F$159</c:f>
              <c:strCache>
                <c:ptCount val="1"/>
                <c:pt idx="0">
                  <c:v>600°C</c:v>
                </c:pt>
              </c:strCache>
            </c:strRef>
          </c:tx>
          <c:spPr>
            <a:solidFill>
              <a:srgbClr val="9DC3E6"/>
            </a:solidFill>
            <a:ln w="0">
              <a:solidFill>
                <a:srgbClr val="9DC3E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Curves'!$A$160:$A$171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Curves'!$F$160:$F$171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D57-4DC3-95E1-F5850F5B6238}"/>
            </c:ext>
          </c:extLst>
        </c:ser>
        <c:ser>
          <c:idx val="3"/>
          <c:order val="3"/>
          <c:tx>
            <c:strRef>
              <c:f>'3 - Charts &amp; Curves'!$G$159</c:f>
              <c:strCache>
                <c:ptCount val="1"/>
                <c:pt idx="0">
                  <c:v>800°C</c:v>
                </c:pt>
              </c:strCache>
            </c:strRef>
          </c:tx>
          <c:spPr>
            <a:solidFill>
              <a:srgbClr val="C55A11"/>
            </a:solidFill>
            <a:ln w="0">
              <a:solidFill>
                <a:srgbClr val="C55A11"/>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Curves'!$A$160:$A$171</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Curves'!$G$160:$G$171</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D57-4DC3-95E1-F5850F5B6238}"/>
            </c:ext>
          </c:extLst>
        </c:ser>
        <c:dLbls>
          <c:showLegendKey val="0"/>
          <c:showVal val="0"/>
          <c:showCatName val="0"/>
          <c:showSerName val="0"/>
          <c:showPercent val="0"/>
          <c:showBubbleSize val="0"/>
        </c:dLbls>
        <c:gapWidth val="60"/>
        <c:axId val="2138886"/>
        <c:axId val="34485943"/>
      </c:barChart>
      <c:catAx>
        <c:axId val="213888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Mix ID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485943"/>
        <c:crosses val="autoZero"/>
        <c:auto val="1"/>
        <c:lblAlgn val="ctr"/>
        <c:lblOffset val="100"/>
        <c:noMultiLvlLbl val="0"/>
      </c:catAx>
      <c:valAx>
        <c:axId val="34485943"/>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(MPa)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3888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28-Day Strength (MPa) by Mix — Batch 1 baseline</a:t>
            </a:r>
          </a:p>
        </c:rich>
      </c:tx>
      <c:overlay val="0"/>
      <c:spPr>
        <a:noFill/>
        <a:ln w="0">
          <a:noFill/>
        </a:ln>
      </c:spPr>
    </c:title>
    <c:autoTitleDeleted val="0"/>
    <c:plotArea>
      <c:layout/>
      <c:barChart>
        <c:barDir val="col"/>
        <c:grouping val="clustered"/>
        <c:varyColors val="0"/>
        <c:ser>
          <c:idx val="0"/>
          <c:order val="0"/>
          <c:tx>
            <c:strRef>
              <c:f>'3 - Charts &amp; Curves'!$D$174</c:f>
              <c:strCache>
                <c:ptCount val="1"/>
                <c:pt idx="0">
                  <c:v>28-Day (MPa)</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Curves'!$A$175:$A$186</c:f>
              <c:strCache>
                <c:ptCount val="12"/>
                <c:pt idx="0">
                  <c:v>M0</c:v>
                </c:pt>
                <c:pt idx="1">
                  <c:v>M1</c:v>
                </c:pt>
                <c:pt idx="2">
                  <c:v>M2</c:v>
                </c:pt>
                <c:pt idx="3">
                  <c:v>M3</c:v>
                </c:pt>
                <c:pt idx="4">
                  <c:v>M4</c:v>
                </c:pt>
                <c:pt idx="5">
                  <c:v>M5</c:v>
                </c:pt>
                <c:pt idx="6">
                  <c:v>M6</c:v>
                </c:pt>
                <c:pt idx="7">
                  <c:v>M7</c:v>
                </c:pt>
                <c:pt idx="8">
                  <c:v>M8</c:v>
                </c:pt>
                <c:pt idx="9">
                  <c:v>M9</c:v>
                </c:pt>
                <c:pt idx="10">
                  <c:v>M10</c:v>
                </c:pt>
                <c:pt idx="11">
                  <c:v>M11</c:v>
                </c:pt>
              </c:strCache>
            </c:strRef>
          </c:cat>
          <c:val>
            <c:numRef>
              <c:f>'3 - Charts &amp; Curves'!$D$175:$D$186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EB4-45E7-8B59-F14829B701E8}"/>
            </c:ext>
          </c:extLst>
        </c:ser>
        <c:dLbls>
          <c:showLegendKey val="0"/>
          <c:showVal val="0"/>
          <c:showCatName val="0"/>
          <c:showSerName val="0"/>
          <c:showPercent val="0"/>
          <c:showBubbleSize val="0"/>
        </c:dLbls>
        <c:gapWidth val="60"/>
        <c:axId val="3556583"/>
        <c:axId val="89521814"/>
      </c:barChart>
      <c:catAx>
        <c:axId val="3556583"/>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Mix ID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521814"/>
        <c:crosses val="autoZero"/>
        <c:auto val="1"/>
        <c:lblAlgn val="ctr"/>
        <c:lblOffset val="100"/>
        <c:noMultiLvlLbl val="0"/>
      </c:catAx>
      <c:valAx>
        <c:axId val="89521814"/>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28-day strength (MPa)</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5658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Control (4M, 6M) vs Key Mix M9 — Residual Strength Curve</a:t>
            </a:r>
          </a:p>
        </c:rich>
      </c:tx>
      <c:overlay val="0"/>
      <c:spPr>
        <a:noFill/>
        <a:ln w="0">
          <a:noFill/>
        </a:ln>
      </c:spPr>
    </c:title>
    <c:autoTitleDeleted val="0"/>
    <c:plotArea>
      <c:layout/>
      <c:lineChart>
        <c:grouping val="standard"/>
        <c:varyColors val="0"/>
        <c:ser>
          <c:idx val="0"/>
          <c:order val="0"/>
          <c:tx>
            <c:strRef>
              <c:f>'3 - Charts &amp; Curves'!$B$189</c:f>
              <c:strCache>
                <c:ptCount val="1"/>
                <c:pt idx="0">
                  <c:v>M0 (0% SCBA, 4M)</c:v>
                </c:pt>
              </c:strCache>
            </c:strRef>
          </c:tx>
          <c:spPr>
            <a:ln w="21960">
              <a:solidFill>
                <a:srgbClr val="1F3864"/>
              </a:solidFill>
              <a:round/>
            </a:ln>
          </c:spPr>
          <c:marker>
            <c:symbol val="circle"/>
            <c:size val="6"/>
            <c:spPr>
              <a:solidFill>
                <a:srgbClr val="1F386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Curves'!$B$190:$B$194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0-8DF4-4C40-8C12-BBCC10982972}"/>
            </c:ext>
          </c:extLst>
        </c:ser>
        <c:ser>
          <c:idx val="1"/>
          <c:order val="1"/>
          <c:tx>
            <c:strRef>
              <c:f>'3 - Charts &amp; Curves'!$H$189</c:f>
              <c:strCache>
                <c:ptCount val="1"/>
                <c:pt idx="0">
                  <c:v>M6 (0% SCBA, 6M)</c:v>
                </c:pt>
              </c:strCache>
            </c:strRef>
          </c:tx>
          <c:spPr>
            <a:ln w="21960">
              <a:solidFill>
                <a:srgbClr val="2E75B6"/>
              </a:solidFill>
              <a:round/>
            </a:ln>
          </c:spPr>
          <c:marker>
            <c:symbol val="circle"/>
            <c:size val="6"/>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Curves'!$H$190:$H$194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1-8DF4-4C40-8C12-BBCC10982972}"/>
            </c:ext>
          </c:extLst>
        </c:ser>
        <c:ser>
          <c:idx val="2"/>
          <c:order val="2"/>
          <c:tx>
            <c:strRef>
              <c:f>'3 - Charts &amp; Curves'!$K$189</c:f>
              <c:strCache>
                <c:ptCount val="1"/>
                <c:pt idx="0">
                  <c:v>M9 (15% SCBA, 6M)</c:v>
                </c:pt>
              </c:strCache>
            </c:strRef>
          </c:tx>
          <c:spPr>
            <a:ln w="21960">
              <a:solidFill>
                <a:srgbClr val="9DC3E6"/>
              </a:solidFill>
              <a:round/>
            </a:ln>
          </c:spPr>
          <c:marker>
            <c:symbol val="circle"/>
            <c:size val="6"/>
            <c:spPr>
              <a:solidFill>
                <a:srgbClr val="9DC3E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Curves'!$A$190:$A$194</c:f>
              <c:strCache>
                <c:ptCount val="5"/>
                <c:pt idx="0">
                  <c:v>25°C (Ambient)</c:v>
                </c:pt>
                <c:pt idx="1">
                  <c:v>200°C</c:v>
                </c:pt>
                <c:pt idx="2">
                  <c:v>400°C</c:v>
                </c:pt>
                <c:pt idx="3">
                  <c:v>600°C</c:v>
                </c:pt>
                <c:pt idx="4">
                  <c:v>800°C</c:v>
                </c:pt>
              </c:strCache>
            </c:strRef>
          </c:cat>
          <c:val>
            <c:numRef>
              <c:f>'3 - Charts &amp; Curves'!$K$190:$K$194</c:f>
              <c:numCache>
                <c:formatCode>0.00</c:formatCode>
                <c:ptCount val="5"/>
                <c:pt idx="0">
                  <c:v>100</c:v>
                </c:pt>
                <c:pt idx="1">
                  <c:v>#N/A</c:v>
                </c:pt>
                <c:pt idx="2">
                  <c:v>#N/A</c:v>
                </c:pt>
                <c:pt idx="3">
                  <c:v>#N/A</c:v>
                </c:pt>
                <c:pt idx="4">
                  <c:v>#N/A</c:v>
                </c:pt>
              </c:numCache>
            </c:numRef>
          </c:val>
          <c:smooth val="1"/>
          <c:extLst>
            <c:ext xmlns:c16="http://schemas.microsoft.com/office/drawing/2014/chart" uri="{C3380CC4-5D6E-409C-BE32-E72D297353CC}">
              <c16:uniqueId val="{00000002-8DF4-4C40-8C12-BBCC10982972}"/>
            </c:ext>
          </c:extLst>
        </c:ser>
        <c:dLbls>
          <c:showLegendKey val="0"/>
          <c:showVal val="0"/>
          <c:showCatName val="0"/>
          <c:showSerName val="0"/>
          <c:showPercent val="0"/>
          <c:showBubbleSize val="0"/>
        </c:dLbls>
        <c:hiLowLines>
          <c:spPr>
            <a:ln w="0">
              <a:noFill/>
            </a:ln>
          </c:spPr>
        </c:hiLowLines>
        <c:marker val="1"/>
        <c:smooth val="0"/>
        <c:axId val="60745865"/>
        <c:axId val="887032"/>
      </c:lineChart>
      <c:catAx>
        <c:axId val="6074586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7032"/>
        <c:crosses val="autoZero"/>
        <c:auto val="1"/>
        <c:lblAlgn val="ctr"/>
        <c:lblOffset val="100"/>
        <c:noMultiLvlLbl val="0"/>
      </c:catAx>
      <c:valAx>
        <c:axId val="887032"/>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74586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100" b="1" strike="noStrike" spc="-1">
                <a:solidFill>
                  <a:srgbClr val="1F3864"/>
                </a:solidFill>
                <a:latin typeface="Arial"/>
              </a:defRPr>
            </a:pPr>
            <a:r>
              <a:rPr lang="en-IN" sz="1100" b="1" strike="noStrike" spc="-1">
                <a:solidFill>
                  <a:srgbClr val="1F3864"/>
                </a:solidFill>
                <a:latin typeface="Arial"/>
              </a:rPr>
              <a:t>Average Residual Strength: 4M vs 6M NaOH</a:t>
            </a:r>
          </a:p>
        </c:rich>
      </c:tx>
      <c:overlay val="0"/>
      <c:spPr>
        <a:noFill/>
        <a:ln w="0">
          <a:noFill/>
        </a:ln>
      </c:spPr>
    </c:title>
    <c:autoTitleDeleted val="0"/>
    <c:plotArea>
      <c:layout/>
      <c:barChart>
        <c:barDir val="col"/>
        <c:grouping val="clustered"/>
        <c:varyColors val="0"/>
        <c:ser>
          <c:idx val="0"/>
          <c:order val="0"/>
          <c:tx>
            <c:strRef>
              <c:f>'3 - Charts &amp; Curves'!$B$225</c:f>
              <c:strCache>
                <c:ptCount val="1"/>
                <c:pt idx="0">
                  <c:v>4M NaOH (avg)</c:v>
                </c:pt>
              </c:strCache>
            </c:strRef>
          </c:tx>
          <c:spPr>
            <a:solidFill>
              <a:srgbClr val="1F3864"/>
            </a:solidFill>
            <a:ln w="0">
              <a:solidFill>
                <a:srgbClr val="1F3864"/>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Curves'!$A$226:$A$229</c:f>
              <c:strCache>
                <c:ptCount val="4"/>
                <c:pt idx="0">
                  <c:v>200°C</c:v>
                </c:pt>
                <c:pt idx="1">
                  <c:v>400°C</c:v>
                </c:pt>
                <c:pt idx="2">
                  <c:v>600°C</c:v>
                </c:pt>
                <c:pt idx="3">
                  <c:v>800°C</c:v>
                </c:pt>
              </c:strCache>
            </c:strRef>
          </c:cat>
          <c:val>
            <c:numRef>
              <c:f>'3 - Charts &amp; Curves'!$B$226:$B$229</c:f>
              <c:numCache>
                <c:formatCode>0.00</c:formatCode>
                <c:ptCount val="4"/>
                <c:pt idx="0">
                  <c:v>#N/A</c:v>
                </c:pt>
                <c:pt idx="1">
                  <c:v>#N/A</c:v>
                </c:pt>
                <c:pt idx="2">
                  <c:v>#N/A</c:v>
                </c:pt>
                <c:pt idx="3">
                  <c:v>#N/A</c:v>
                </c:pt>
              </c:numCache>
            </c:numRef>
          </c:val>
          <c:extLst>
            <c:ext xmlns:c16="http://schemas.microsoft.com/office/drawing/2014/chart" uri="{C3380CC4-5D6E-409C-BE32-E72D297353CC}">
              <c16:uniqueId val="{00000000-3E8E-436C-A1BD-3A08C0982EE6}"/>
            </c:ext>
          </c:extLst>
        </c:ser>
        <c:ser>
          <c:idx val="1"/>
          <c:order val="1"/>
          <c:tx>
            <c:strRef>
              <c:f>'3 - Charts &amp; Curves'!$C$225</c:f>
              <c:strCache>
                <c:ptCount val="1"/>
                <c:pt idx="0">
                  <c:v>6M NaOH (avg)</c:v>
                </c:pt>
              </c:strCache>
            </c:strRef>
          </c:tx>
          <c:spPr>
            <a:solidFill>
              <a:srgbClr val="2E75B6"/>
            </a:solidFill>
            <a:ln w="0">
              <a:solidFill>
                <a:srgbClr val="2E75B6"/>
              </a:solid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 Charts &amp; Curves'!$A$226:$A$229</c:f>
              <c:strCache>
                <c:ptCount val="4"/>
                <c:pt idx="0">
                  <c:v>200°C</c:v>
                </c:pt>
                <c:pt idx="1">
                  <c:v>400°C</c:v>
                </c:pt>
                <c:pt idx="2">
                  <c:v>600°C</c:v>
                </c:pt>
                <c:pt idx="3">
                  <c:v>800°C</c:v>
                </c:pt>
              </c:strCache>
            </c:strRef>
          </c:cat>
          <c:val>
            <c:numRef>
              <c:f>'3 - Charts &amp; Curves'!$C$226:$C$229</c:f>
              <c:numCache>
                <c:formatCode>0.00</c:formatCode>
                <c:ptCount val="4"/>
                <c:pt idx="0">
                  <c:v>#N/A</c:v>
                </c:pt>
                <c:pt idx="1">
                  <c:v>#N/A</c:v>
                </c:pt>
                <c:pt idx="2">
                  <c:v>#N/A</c:v>
                </c:pt>
                <c:pt idx="3">
                  <c:v>#N/A</c:v>
                </c:pt>
              </c:numCache>
            </c:numRef>
          </c:val>
          <c:extLst>
            <c:ext xmlns:c16="http://schemas.microsoft.com/office/drawing/2014/chart" uri="{C3380CC4-5D6E-409C-BE32-E72D297353CC}">
              <c16:uniqueId val="{00000001-3E8E-436C-A1BD-3A08C0982EE6}"/>
            </c:ext>
          </c:extLst>
        </c:ser>
        <c:dLbls>
          <c:showLegendKey val="0"/>
          <c:showVal val="0"/>
          <c:showCatName val="0"/>
          <c:showSerName val="0"/>
          <c:showPercent val="0"/>
          <c:showBubbleSize val="0"/>
        </c:dLbls>
        <c:gapWidth val="60"/>
        <c:axId val="58156850"/>
        <c:axId val="66574286"/>
      </c:barChart>
      <c:catAx>
        <c:axId val="58156850"/>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Exposure temperature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574286"/>
        <c:crosses val="autoZero"/>
        <c:auto val="1"/>
        <c:lblAlgn val="ctr"/>
        <c:lblOffset val="100"/>
        <c:noMultiLvlLbl val="0"/>
      </c:catAx>
      <c:valAx>
        <c:axId val="66574286"/>
        <c:scaling>
          <c:orientation val="minMax"/>
          <c:max val="12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Residual strength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15685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160920</xdr:rowOff>
    </xdr:from>
    <xdr:to>
      <xdr:col>5</xdr:col>
      <xdr:colOff>840960</xdr:colOff>
      <xdr:row>22</xdr:row>
      <xdr:rowOff>5460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xdr:row>
      <xdr:rowOff>160920</xdr:rowOff>
    </xdr:from>
    <xdr:to>
      <xdr:col>11</xdr:col>
      <xdr:colOff>840960</xdr:colOff>
      <xdr:row>22</xdr:row>
      <xdr:rowOff>5460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160560</xdr:rowOff>
    </xdr:from>
    <xdr:to>
      <xdr:col>5</xdr:col>
      <xdr:colOff>840960</xdr:colOff>
      <xdr:row>42</xdr:row>
      <xdr:rowOff>5100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23</xdr:row>
      <xdr:rowOff>160560</xdr:rowOff>
    </xdr:from>
    <xdr:to>
      <xdr:col>11</xdr:col>
      <xdr:colOff>840960</xdr:colOff>
      <xdr:row>42</xdr:row>
      <xdr:rowOff>5100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43</xdr:row>
      <xdr:rowOff>160560</xdr:rowOff>
    </xdr:from>
    <xdr:to>
      <xdr:col>5</xdr:col>
      <xdr:colOff>840960</xdr:colOff>
      <xdr:row>62</xdr:row>
      <xdr:rowOff>5100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43</xdr:row>
      <xdr:rowOff>160560</xdr:rowOff>
    </xdr:from>
    <xdr:to>
      <xdr:col>11</xdr:col>
      <xdr:colOff>840960</xdr:colOff>
      <xdr:row>62</xdr:row>
      <xdr:rowOff>5100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63</xdr:row>
      <xdr:rowOff>160920</xdr:rowOff>
    </xdr:from>
    <xdr:to>
      <xdr:col>5</xdr:col>
      <xdr:colOff>840960</xdr:colOff>
      <xdr:row>82</xdr:row>
      <xdr:rowOff>5460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0</xdr:colOff>
      <xdr:row>63</xdr:row>
      <xdr:rowOff>160920</xdr:rowOff>
    </xdr:from>
    <xdr:to>
      <xdr:col>11</xdr:col>
      <xdr:colOff>840960</xdr:colOff>
      <xdr:row>82</xdr:row>
      <xdr:rowOff>5460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83</xdr:row>
      <xdr:rowOff>160560</xdr:rowOff>
    </xdr:from>
    <xdr:to>
      <xdr:col>5</xdr:col>
      <xdr:colOff>840960</xdr:colOff>
      <xdr:row>102</xdr:row>
      <xdr:rowOff>5100</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0</xdr:colOff>
      <xdr:row>83</xdr:row>
      <xdr:rowOff>160560</xdr:rowOff>
    </xdr:from>
    <xdr:to>
      <xdr:col>11</xdr:col>
      <xdr:colOff>840960</xdr:colOff>
      <xdr:row>102</xdr:row>
      <xdr:rowOff>5100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103</xdr:row>
      <xdr:rowOff>160560</xdr:rowOff>
    </xdr:from>
    <xdr:to>
      <xdr:col>5</xdr:col>
      <xdr:colOff>840960</xdr:colOff>
      <xdr:row>122</xdr:row>
      <xdr:rowOff>5100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0</xdr:colOff>
      <xdr:row>103</xdr:row>
      <xdr:rowOff>160560</xdr:rowOff>
    </xdr:from>
    <xdr:to>
      <xdr:col>11</xdr:col>
      <xdr:colOff>840960</xdr:colOff>
      <xdr:row>122</xdr:row>
      <xdr:rowOff>5100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tabSelected="1" zoomScaleNormal="100" workbookViewId="0">
      <selection activeCell="B18" sqref="B18:D18"/>
    </sheetView>
  </sheetViews>
  <sheetFormatPr defaultColWidth="8.6640625" defaultRowHeight="13.8" x14ac:dyDescent="0.25"/>
  <cols>
    <col min="1" max="1" width="28" style="2" customWidth="1"/>
    <col min="2" max="2" width="35.6640625" style="2" bestFit="1" customWidth="1"/>
    <col min="3" max="3" width="80.88671875" style="2" bestFit="1" customWidth="1"/>
    <col min="4" max="4" width="15" style="2" customWidth="1"/>
    <col min="5" max="16384" width="8.6640625" style="2"/>
  </cols>
  <sheetData>
    <row r="1" spans="1:4" ht="17.399999999999999" x14ac:dyDescent="0.3">
      <c r="A1" s="50" t="s">
        <v>0</v>
      </c>
      <c r="B1" s="50"/>
      <c r="C1" s="50"/>
      <c r="D1" s="50"/>
    </row>
    <row r="3" spans="1:4" ht="24" customHeight="1" x14ac:dyDescent="0.25">
      <c r="A3" s="11" t="s">
        <v>1</v>
      </c>
      <c r="B3" s="11" t="s">
        <v>2</v>
      </c>
      <c r="C3" s="11" t="s">
        <v>3</v>
      </c>
    </row>
    <row r="4" spans="1:4" x14ac:dyDescent="0.25">
      <c r="A4" s="12" t="s">
        <v>4</v>
      </c>
      <c r="B4" s="13" t="s">
        <v>5</v>
      </c>
      <c r="C4" s="13" t="s">
        <v>6</v>
      </c>
    </row>
    <row r="5" spans="1:4" x14ac:dyDescent="0.25">
      <c r="A5" s="14" t="s">
        <v>7</v>
      </c>
      <c r="B5" s="15" t="s">
        <v>8</v>
      </c>
      <c r="C5" s="15" t="s">
        <v>9</v>
      </c>
    </row>
    <row r="6" spans="1:4" x14ac:dyDescent="0.25">
      <c r="A6" s="12" t="s">
        <v>10</v>
      </c>
      <c r="B6" s="13" t="s">
        <v>11</v>
      </c>
      <c r="C6" s="13" t="s">
        <v>12</v>
      </c>
    </row>
    <row r="7" spans="1:4" x14ac:dyDescent="0.25">
      <c r="A7" s="14" t="s">
        <v>13</v>
      </c>
      <c r="B7" s="15" t="s">
        <v>14</v>
      </c>
      <c r="C7" s="15" t="s">
        <v>15</v>
      </c>
    </row>
    <row r="8" spans="1:4" x14ac:dyDescent="0.25">
      <c r="A8" s="12" t="s">
        <v>16</v>
      </c>
      <c r="B8" s="13" t="s">
        <v>17</v>
      </c>
      <c r="C8" s="13" t="s">
        <v>18</v>
      </c>
    </row>
    <row r="9" spans="1:4" x14ac:dyDescent="0.25">
      <c r="A9" s="14" t="s">
        <v>19</v>
      </c>
      <c r="B9" s="15" t="s">
        <v>20</v>
      </c>
      <c r="C9" s="15" t="s">
        <v>21</v>
      </c>
    </row>
    <row r="10" spans="1:4" x14ac:dyDescent="0.25">
      <c r="A10" s="12" t="s">
        <v>22</v>
      </c>
      <c r="B10" s="13" t="s">
        <v>23</v>
      </c>
      <c r="C10" s="13" t="s">
        <v>24</v>
      </c>
    </row>
    <row r="11" spans="1:4" x14ac:dyDescent="0.25">
      <c r="A11" s="14" t="s">
        <v>25</v>
      </c>
      <c r="B11" s="15" t="s">
        <v>26</v>
      </c>
      <c r="C11" s="15" t="s">
        <v>27</v>
      </c>
    </row>
    <row r="14" spans="1:4" x14ac:dyDescent="0.25">
      <c r="A14" s="16" t="s">
        <v>28</v>
      </c>
    </row>
    <row r="15" spans="1:4" x14ac:dyDescent="0.25">
      <c r="A15" s="17" t="s">
        <v>29</v>
      </c>
      <c r="B15" s="51" t="s">
        <v>30</v>
      </c>
      <c r="C15" s="51"/>
      <c r="D15" s="51"/>
    </row>
    <row r="16" spans="1:4" x14ac:dyDescent="0.25">
      <c r="A16" s="18" t="s">
        <v>31</v>
      </c>
      <c r="B16" s="51" t="s">
        <v>32</v>
      </c>
      <c r="C16" s="51"/>
      <c r="D16" s="51"/>
    </row>
    <row r="17" spans="1:4" x14ac:dyDescent="0.25">
      <c r="A17" s="19" t="s">
        <v>33</v>
      </c>
      <c r="B17" s="51" t="s">
        <v>34</v>
      </c>
      <c r="C17" s="51"/>
      <c r="D17" s="51"/>
    </row>
    <row r="18" spans="1:4" x14ac:dyDescent="0.25">
      <c r="A18" s="20" t="s">
        <v>35</v>
      </c>
      <c r="B18" s="51" t="s">
        <v>36</v>
      </c>
      <c r="C18" s="51"/>
      <c r="D18" s="51"/>
    </row>
  </sheetData>
  <mergeCells count="5">
    <mergeCell ref="A1:D1"/>
    <mergeCell ref="B15:D15"/>
    <mergeCell ref="B16:D16"/>
    <mergeCell ref="B17:D17"/>
    <mergeCell ref="B18:D18"/>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6"/>
  <sheetViews>
    <sheetView zoomScaleNormal="100" workbookViewId="0">
      <selection activeCell="D12" sqref="D12"/>
    </sheetView>
  </sheetViews>
  <sheetFormatPr defaultColWidth="8.6640625" defaultRowHeight="13.8" x14ac:dyDescent="0.25"/>
  <cols>
    <col min="1" max="1" width="10" style="2" customWidth="1"/>
    <col min="2" max="3" width="12" style="2" customWidth="1"/>
    <col min="4" max="6" width="16" style="2" customWidth="1"/>
    <col min="7" max="7" width="22" style="2" customWidth="1"/>
    <col min="8" max="8" width="38" style="2" customWidth="1"/>
    <col min="9" max="9" width="28" style="2" customWidth="1"/>
    <col min="10" max="16384" width="8.6640625" style="2"/>
  </cols>
  <sheetData>
    <row r="1" spans="1:9" ht="17.399999999999999" x14ac:dyDescent="0.3">
      <c r="A1" s="50" t="s">
        <v>37</v>
      </c>
      <c r="B1" s="50"/>
      <c r="C1" s="50"/>
      <c r="D1" s="50"/>
      <c r="E1" s="50"/>
      <c r="F1" s="50"/>
      <c r="G1" s="50"/>
      <c r="H1" s="50"/>
      <c r="I1" s="50"/>
    </row>
    <row r="2" spans="1:9" x14ac:dyDescent="0.25">
      <c r="A2" s="1" t="s">
        <v>38</v>
      </c>
    </row>
    <row r="4" spans="1:9" ht="27.75" customHeight="1" x14ac:dyDescent="0.25">
      <c r="A4" s="21" t="s">
        <v>39</v>
      </c>
      <c r="B4" s="21" t="s">
        <v>40</v>
      </c>
      <c r="C4" s="21" t="s">
        <v>41</v>
      </c>
      <c r="D4" s="21" t="s">
        <v>42</v>
      </c>
      <c r="E4" s="21" t="s">
        <v>43</v>
      </c>
      <c r="F4" s="21" t="s">
        <v>44</v>
      </c>
      <c r="G4" s="21" t="s">
        <v>45</v>
      </c>
      <c r="H4" s="21" t="s">
        <v>46</v>
      </c>
      <c r="I4" s="21" t="s">
        <v>47</v>
      </c>
    </row>
    <row r="5" spans="1:9" x14ac:dyDescent="0.25">
      <c r="A5" s="22" t="s">
        <v>48</v>
      </c>
      <c r="B5" s="22">
        <v>0</v>
      </c>
      <c r="C5" s="22" t="s">
        <v>49</v>
      </c>
      <c r="D5" s="22">
        <v>100</v>
      </c>
      <c r="E5" s="22">
        <v>70</v>
      </c>
      <c r="F5" s="22">
        <v>30</v>
      </c>
      <c r="G5" s="22" t="s">
        <v>50</v>
      </c>
      <c r="H5" s="23" t="s">
        <v>51</v>
      </c>
      <c r="I5" s="24"/>
    </row>
    <row r="6" spans="1:9" x14ac:dyDescent="0.25">
      <c r="A6" s="25" t="s">
        <v>52</v>
      </c>
      <c r="B6" s="25">
        <v>5</v>
      </c>
      <c r="C6" s="25" t="s">
        <v>49</v>
      </c>
      <c r="D6" s="25">
        <v>95</v>
      </c>
      <c r="E6" s="25">
        <v>66.5</v>
      </c>
      <c r="F6" s="25">
        <v>28.5</v>
      </c>
      <c r="G6" s="25" t="s">
        <v>53</v>
      </c>
      <c r="H6" s="26" t="s">
        <v>54</v>
      </c>
      <c r="I6" s="24"/>
    </row>
    <row r="7" spans="1:9" x14ac:dyDescent="0.25">
      <c r="A7" s="22" t="s">
        <v>55</v>
      </c>
      <c r="B7" s="22">
        <v>10</v>
      </c>
      <c r="C7" s="22" t="s">
        <v>49</v>
      </c>
      <c r="D7" s="22">
        <v>90</v>
      </c>
      <c r="E7" s="22">
        <v>63</v>
      </c>
      <c r="F7" s="22">
        <v>27</v>
      </c>
      <c r="G7" s="22" t="s">
        <v>53</v>
      </c>
      <c r="H7" s="23" t="s">
        <v>56</v>
      </c>
      <c r="I7" s="24"/>
    </row>
    <row r="8" spans="1:9" x14ac:dyDescent="0.25">
      <c r="A8" s="25" t="s">
        <v>57</v>
      </c>
      <c r="B8" s="25">
        <v>15</v>
      </c>
      <c r="C8" s="25" t="s">
        <v>49</v>
      </c>
      <c r="D8" s="25">
        <v>85</v>
      </c>
      <c r="E8" s="25">
        <v>59.5</v>
      </c>
      <c r="F8" s="25">
        <v>25.5</v>
      </c>
      <c r="G8" s="25" t="s">
        <v>53</v>
      </c>
      <c r="H8" s="26" t="s">
        <v>58</v>
      </c>
      <c r="I8" s="24"/>
    </row>
    <row r="9" spans="1:9" x14ac:dyDescent="0.25">
      <c r="A9" s="22" t="s">
        <v>59</v>
      </c>
      <c r="B9" s="22">
        <v>20</v>
      </c>
      <c r="C9" s="22" t="s">
        <v>49</v>
      </c>
      <c r="D9" s="22">
        <v>80</v>
      </c>
      <c r="E9" s="22">
        <v>56</v>
      </c>
      <c r="F9" s="22">
        <v>24</v>
      </c>
      <c r="G9" s="22" t="s">
        <v>53</v>
      </c>
      <c r="H9" s="23" t="s">
        <v>60</v>
      </c>
      <c r="I9" s="24"/>
    </row>
    <row r="10" spans="1:9" x14ac:dyDescent="0.25">
      <c r="A10" s="25" t="s">
        <v>61</v>
      </c>
      <c r="B10" s="25">
        <v>25</v>
      </c>
      <c r="C10" s="25" t="s">
        <v>49</v>
      </c>
      <c r="D10" s="25">
        <v>75</v>
      </c>
      <c r="E10" s="25">
        <v>52.5</v>
      </c>
      <c r="F10" s="25">
        <v>22.5</v>
      </c>
      <c r="G10" s="25" t="s">
        <v>53</v>
      </c>
      <c r="H10" s="26" t="s">
        <v>62</v>
      </c>
      <c r="I10" s="24"/>
    </row>
    <row r="11" spans="1:9" x14ac:dyDescent="0.25">
      <c r="A11" s="22" t="s">
        <v>63</v>
      </c>
      <c r="B11" s="22">
        <v>0</v>
      </c>
      <c r="C11" s="22" t="s">
        <v>64</v>
      </c>
      <c r="D11" s="22">
        <v>100</v>
      </c>
      <c r="E11" s="22">
        <v>70</v>
      </c>
      <c r="F11" s="22">
        <v>30</v>
      </c>
      <c r="G11" s="22" t="s">
        <v>65</v>
      </c>
      <c r="H11" s="23" t="s">
        <v>66</v>
      </c>
      <c r="I11" s="24"/>
    </row>
    <row r="12" spans="1:9" x14ac:dyDescent="0.25">
      <c r="A12" s="25" t="s">
        <v>67</v>
      </c>
      <c r="B12" s="25">
        <v>5</v>
      </c>
      <c r="C12" s="25" t="s">
        <v>64</v>
      </c>
      <c r="D12" s="25">
        <v>95</v>
      </c>
      <c r="E12" s="25">
        <v>66.5</v>
      </c>
      <c r="F12" s="25">
        <v>28.5</v>
      </c>
      <c r="G12" s="25" t="s">
        <v>68</v>
      </c>
      <c r="H12" s="26" t="s">
        <v>54</v>
      </c>
      <c r="I12" s="24"/>
    </row>
    <row r="13" spans="1:9" x14ac:dyDescent="0.25">
      <c r="A13" s="22" t="s">
        <v>69</v>
      </c>
      <c r="B13" s="22">
        <v>10</v>
      </c>
      <c r="C13" s="22" t="s">
        <v>64</v>
      </c>
      <c r="D13" s="22">
        <v>90</v>
      </c>
      <c r="E13" s="22">
        <v>63</v>
      </c>
      <c r="F13" s="22">
        <v>27</v>
      </c>
      <c r="G13" s="22" t="s">
        <v>68</v>
      </c>
      <c r="H13" s="23" t="s">
        <v>56</v>
      </c>
      <c r="I13" s="24"/>
    </row>
    <row r="14" spans="1:9" x14ac:dyDescent="0.25">
      <c r="A14" s="27" t="s">
        <v>70</v>
      </c>
      <c r="B14" s="27">
        <v>15</v>
      </c>
      <c r="C14" s="27" t="s">
        <v>64</v>
      </c>
      <c r="D14" s="27">
        <v>85</v>
      </c>
      <c r="E14" s="27">
        <v>59.5</v>
      </c>
      <c r="F14" s="27">
        <v>25.5</v>
      </c>
      <c r="G14" s="27" t="s">
        <v>71</v>
      </c>
      <c r="H14" s="28" t="s">
        <v>72</v>
      </c>
      <c r="I14" s="24"/>
    </row>
    <row r="15" spans="1:9" x14ac:dyDescent="0.25">
      <c r="A15" s="22" t="s">
        <v>73</v>
      </c>
      <c r="B15" s="22">
        <v>20</v>
      </c>
      <c r="C15" s="22" t="s">
        <v>64</v>
      </c>
      <c r="D15" s="22">
        <v>80</v>
      </c>
      <c r="E15" s="22">
        <v>56</v>
      </c>
      <c r="F15" s="22">
        <v>24</v>
      </c>
      <c r="G15" s="22" t="s">
        <v>68</v>
      </c>
      <c r="H15" s="23" t="s">
        <v>60</v>
      </c>
      <c r="I15" s="24"/>
    </row>
    <row r="16" spans="1:9" x14ac:dyDescent="0.25">
      <c r="A16" s="25" t="s">
        <v>74</v>
      </c>
      <c r="B16" s="25">
        <v>25</v>
      </c>
      <c r="C16" s="25" t="s">
        <v>64</v>
      </c>
      <c r="D16" s="25">
        <v>75</v>
      </c>
      <c r="E16" s="25">
        <v>52.5</v>
      </c>
      <c r="F16" s="25">
        <v>22.5</v>
      </c>
      <c r="G16" s="25" t="s">
        <v>68</v>
      </c>
      <c r="H16" s="26" t="s">
        <v>62</v>
      </c>
      <c r="I16" s="24"/>
    </row>
  </sheetData>
  <mergeCells count="1">
    <mergeCell ref="A1:I1"/>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48"/>
  <sheetViews>
    <sheetView topLeftCell="H1" zoomScaleNormal="100" workbookViewId="0">
      <pane ySplit="4" topLeftCell="A5" activePane="bottomLeft" state="frozen"/>
      <selection pane="bottomLeft" activeCell="F4" sqref="F4"/>
    </sheetView>
  </sheetViews>
  <sheetFormatPr defaultColWidth="8.6640625" defaultRowHeight="14.4" x14ac:dyDescent="0.3"/>
  <cols>
    <col min="1" max="1" width="10" customWidth="1"/>
    <col min="2" max="2" width="13" customWidth="1"/>
    <col min="3" max="3" width="12" customWidth="1"/>
    <col min="4" max="4" width="14" customWidth="1"/>
    <col min="5" max="5" width="16" customWidth="1"/>
    <col min="6" max="7" width="14" customWidth="1"/>
    <col min="8" max="9" width="15" customWidth="1"/>
    <col min="10" max="10" width="14" customWidth="1"/>
    <col min="11" max="12" width="15" customWidth="1"/>
    <col min="13" max="13" width="14" customWidth="1"/>
    <col min="14" max="15" width="17" customWidth="1"/>
    <col min="16" max="16" width="16" customWidth="1"/>
  </cols>
  <sheetData>
    <row r="1" spans="1:16" ht="17.399999999999999" x14ac:dyDescent="0.3">
      <c r="A1" s="50" t="s">
        <v>75</v>
      </c>
      <c r="B1" s="50"/>
      <c r="C1" s="50"/>
      <c r="D1" s="50"/>
      <c r="E1" s="50"/>
      <c r="F1" s="50"/>
      <c r="G1" s="50"/>
      <c r="H1" s="50"/>
      <c r="I1" s="50"/>
      <c r="J1" s="50"/>
      <c r="K1" s="50"/>
      <c r="L1" s="50"/>
      <c r="M1" s="50"/>
      <c r="N1" s="50"/>
      <c r="O1" s="50"/>
      <c r="P1" s="50"/>
    </row>
    <row r="2" spans="1:16" x14ac:dyDescent="0.3">
      <c r="A2" s="1" t="s">
        <v>76</v>
      </c>
      <c r="B2" s="2"/>
      <c r="C2" s="2"/>
      <c r="D2" s="2"/>
      <c r="E2" s="2"/>
      <c r="F2" s="2"/>
      <c r="G2" s="2"/>
      <c r="H2" s="2"/>
      <c r="I2" s="2"/>
      <c r="J2" s="2"/>
      <c r="K2" s="2"/>
      <c r="L2" s="2"/>
      <c r="M2" s="2"/>
      <c r="N2" s="2"/>
      <c r="O2" s="2"/>
      <c r="P2" s="2"/>
    </row>
    <row r="3" spans="1:16" x14ac:dyDescent="0.3">
      <c r="A3" s="52" t="s">
        <v>77</v>
      </c>
      <c r="B3" s="52"/>
      <c r="C3" s="52"/>
      <c r="D3" s="53" t="s">
        <v>78</v>
      </c>
      <c r="E3" s="53"/>
      <c r="F3" s="52" t="s">
        <v>79</v>
      </c>
      <c r="G3" s="52"/>
      <c r="H3" s="52"/>
      <c r="I3" s="52"/>
      <c r="J3" s="53" t="s">
        <v>80</v>
      </c>
      <c r="K3" s="53"/>
      <c r="L3" s="53"/>
      <c r="M3" s="54" t="s">
        <v>81</v>
      </c>
      <c r="N3" s="54"/>
      <c r="O3" s="54"/>
      <c r="P3" s="3" t="s">
        <v>82</v>
      </c>
    </row>
    <row r="4" spans="1:16" ht="31.5" customHeight="1" x14ac:dyDescent="0.3">
      <c r="A4" s="4" t="s">
        <v>39</v>
      </c>
      <c r="B4" s="4" t="s">
        <v>83</v>
      </c>
      <c r="C4" s="4" t="s">
        <v>84</v>
      </c>
      <c r="D4" s="4" t="s">
        <v>85</v>
      </c>
      <c r="E4" s="4" t="s">
        <v>86</v>
      </c>
      <c r="F4" s="4" t="s">
        <v>87</v>
      </c>
      <c r="G4" s="4" t="s">
        <v>88</v>
      </c>
      <c r="H4" s="4" t="s">
        <v>89</v>
      </c>
      <c r="I4" s="4" t="s">
        <v>90</v>
      </c>
      <c r="J4" s="4" t="s">
        <v>91</v>
      </c>
      <c r="K4" s="4" t="s">
        <v>92</v>
      </c>
      <c r="L4" s="4" t="s">
        <v>93</v>
      </c>
      <c r="M4" s="4" t="s">
        <v>94</v>
      </c>
      <c r="N4" s="4" t="s">
        <v>95</v>
      </c>
      <c r="O4" s="4" t="s">
        <v>96</v>
      </c>
      <c r="P4" s="4" t="s">
        <v>97</v>
      </c>
    </row>
    <row r="5" spans="1:16" x14ac:dyDescent="0.3">
      <c r="A5" s="5" t="s">
        <v>48</v>
      </c>
      <c r="B5" s="5">
        <v>200</v>
      </c>
      <c r="C5" s="5">
        <v>1</v>
      </c>
      <c r="D5" s="6"/>
      <c r="E5" s="6"/>
      <c r="F5" s="6"/>
      <c r="G5" s="6"/>
      <c r="H5" s="6"/>
      <c r="I5" s="6"/>
      <c r="J5" s="6"/>
      <c r="K5" s="7" t="str">
        <f t="shared" ref="K5:K36" si="0">IF(J5="","",J5*1000)</f>
        <v/>
      </c>
      <c r="L5" s="8" t="str">
        <f>IF('1 - Mix Reference'!I5="","",'1 - Mix Reference'!I5)</f>
        <v/>
      </c>
      <c r="M5" s="9" t="str">
        <f t="shared" ref="M5:M36" si="1">IF(OR(D5="",F5=""),"",((D5-F5)/D5)*100)</f>
        <v/>
      </c>
      <c r="N5" s="9" t="str">
        <f t="shared" ref="N5:N36" si="2">IF(K5="","",K5/10000)</f>
        <v/>
      </c>
      <c r="O5" s="9" t="str">
        <f t="shared" ref="O5:O36" si="3">IF(OR(N5="",L5="",L5=0),"",(N5/L5)*100)</f>
        <v/>
      </c>
      <c r="P5" s="6"/>
    </row>
    <row r="6" spans="1:16" x14ac:dyDescent="0.3">
      <c r="A6" s="10" t="s">
        <v>48</v>
      </c>
      <c r="B6" s="10">
        <v>200</v>
      </c>
      <c r="C6" s="10">
        <v>2</v>
      </c>
      <c r="D6" s="6"/>
      <c r="E6" s="6"/>
      <c r="F6" s="6"/>
      <c r="G6" s="6"/>
      <c r="H6" s="6"/>
      <c r="I6" s="6"/>
      <c r="J6" s="6"/>
      <c r="K6" s="7" t="str">
        <f t="shared" si="0"/>
        <v/>
      </c>
      <c r="L6" s="8" t="str">
        <f>IF('1 - Mix Reference'!I5="","",'1 - Mix Reference'!I5)</f>
        <v/>
      </c>
      <c r="M6" s="9" t="str">
        <f t="shared" si="1"/>
        <v/>
      </c>
      <c r="N6" s="9" t="str">
        <f t="shared" si="2"/>
        <v/>
      </c>
      <c r="O6" s="9" t="str">
        <f t="shared" si="3"/>
        <v/>
      </c>
      <c r="P6" s="6"/>
    </row>
    <row r="7" spans="1:16" x14ac:dyDescent="0.3">
      <c r="A7" s="10" t="s">
        <v>48</v>
      </c>
      <c r="B7" s="10">
        <v>200</v>
      </c>
      <c r="C7" s="10">
        <v>3</v>
      </c>
      <c r="D7" s="6"/>
      <c r="E7" s="6"/>
      <c r="F7" s="6"/>
      <c r="G7" s="6"/>
      <c r="H7" s="6"/>
      <c r="I7" s="6"/>
      <c r="J7" s="6"/>
      <c r="K7" s="7" t="str">
        <f t="shared" si="0"/>
        <v/>
      </c>
      <c r="L7" s="8" t="str">
        <f>IF('1 - Mix Reference'!I5="","",'1 - Mix Reference'!I5)</f>
        <v/>
      </c>
      <c r="M7" s="9" t="str">
        <f t="shared" si="1"/>
        <v/>
      </c>
      <c r="N7" s="9" t="str">
        <f t="shared" si="2"/>
        <v/>
      </c>
      <c r="O7" s="9" t="str">
        <f t="shared" si="3"/>
        <v/>
      </c>
      <c r="P7" s="6"/>
    </row>
    <row r="8" spans="1:16" x14ac:dyDescent="0.3">
      <c r="A8" s="10" t="s">
        <v>52</v>
      </c>
      <c r="B8" s="10">
        <v>200</v>
      </c>
      <c r="C8" s="10">
        <v>1</v>
      </c>
      <c r="D8" s="6"/>
      <c r="E8" s="6"/>
      <c r="F8" s="6"/>
      <c r="G8" s="6"/>
      <c r="H8" s="6"/>
      <c r="I8" s="6"/>
      <c r="J8" s="6"/>
      <c r="K8" s="7" t="str">
        <f t="shared" si="0"/>
        <v/>
      </c>
      <c r="L8" s="8" t="str">
        <f>IF('1 - Mix Reference'!I6="","",'1 - Mix Reference'!I6)</f>
        <v/>
      </c>
      <c r="M8" s="9" t="str">
        <f t="shared" si="1"/>
        <v/>
      </c>
      <c r="N8" s="9" t="str">
        <f t="shared" si="2"/>
        <v/>
      </c>
      <c r="O8" s="9" t="str">
        <f t="shared" si="3"/>
        <v/>
      </c>
      <c r="P8" s="6"/>
    </row>
    <row r="9" spans="1:16" x14ac:dyDescent="0.3">
      <c r="A9" s="5" t="s">
        <v>52</v>
      </c>
      <c r="B9" s="5">
        <v>200</v>
      </c>
      <c r="C9" s="5">
        <v>2</v>
      </c>
      <c r="D9" s="6"/>
      <c r="E9" s="6"/>
      <c r="F9" s="6"/>
      <c r="G9" s="6"/>
      <c r="H9" s="6"/>
      <c r="I9" s="6"/>
      <c r="J9" s="6"/>
      <c r="K9" s="7" t="str">
        <f t="shared" si="0"/>
        <v/>
      </c>
      <c r="L9" s="8" t="str">
        <f>IF('1 - Mix Reference'!I6="","",'1 - Mix Reference'!I6)</f>
        <v/>
      </c>
      <c r="M9" s="9" t="str">
        <f t="shared" si="1"/>
        <v/>
      </c>
      <c r="N9" s="9" t="str">
        <f t="shared" si="2"/>
        <v/>
      </c>
      <c r="O9" s="9" t="str">
        <f t="shared" si="3"/>
        <v/>
      </c>
      <c r="P9" s="6"/>
    </row>
    <row r="10" spans="1:16" x14ac:dyDescent="0.3">
      <c r="A10" s="5" t="s">
        <v>52</v>
      </c>
      <c r="B10" s="5">
        <v>200</v>
      </c>
      <c r="C10" s="5">
        <v>3</v>
      </c>
      <c r="D10" s="6"/>
      <c r="E10" s="6"/>
      <c r="F10" s="6"/>
      <c r="G10" s="6"/>
      <c r="H10" s="6"/>
      <c r="I10" s="6"/>
      <c r="J10" s="6"/>
      <c r="K10" s="7" t="str">
        <f t="shared" si="0"/>
        <v/>
      </c>
      <c r="L10" s="8" t="str">
        <f>IF('1 - Mix Reference'!I6="","",'1 - Mix Reference'!I6)</f>
        <v/>
      </c>
      <c r="M10" s="9" t="str">
        <f t="shared" si="1"/>
        <v/>
      </c>
      <c r="N10" s="9" t="str">
        <f t="shared" si="2"/>
        <v/>
      </c>
      <c r="O10" s="9" t="str">
        <f t="shared" si="3"/>
        <v/>
      </c>
      <c r="P10" s="6"/>
    </row>
    <row r="11" spans="1:16" x14ac:dyDescent="0.3">
      <c r="A11" s="5" t="s">
        <v>55</v>
      </c>
      <c r="B11" s="5">
        <v>200</v>
      </c>
      <c r="C11" s="5">
        <v>1</v>
      </c>
      <c r="D11" s="6"/>
      <c r="E11" s="6"/>
      <c r="F11" s="6"/>
      <c r="G11" s="6"/>
      <c r="H11" s="6"/>
      <c r="I11" s="6"/>
      <c r="J11" s="6"/>
      <c r="K11" s="7" t="str">
        <f t="shared" si="0"/>
        <v/>
      </c>
      <c r="L11" s="8" t="str">
        <f>IF('1 - Mix Reference'!I7="","",'1 - Mix Reference'!I7)</f>
        <v/>
      </c>
      <c r="M11" s="9" t="str">
        <f t="shared" si="1"/>
        <v/>
      </c>
      <c r="N11" s="9" t="str">
        <f t="shared" si="2"/>
        <v/>
      </c>
      <c r="O11" s="9" t="str">
        <f t="shared" si="3"/>
        <v/>
      </c>
      <c r="P11" s="6"/>
    </row>
    <row r="12" spans="1:16" x14ac:dyDescent="0.3">
      <c r="A12" s="10" t="s">
        <v>55</v>
      </c>
      <c r="B12" s="10">
        <v>200</v>
      </c>
      <c r="C12" s="10">
        <v>2</v>
      </c>
      <c r="D12" s="6"/>
      <c r="E12" s="6"/>
      <c r="F12" s="6"/>
      <c r="G12" s="6"/>
      <c r="H12" s="6"/>
      <c r="I12" s="6"/>
      <c r="J12" s="6"/>
      <c r="K12" s="7" t="str">
        <f t="shared" si="0"/>
        <v/>
      </c>
      <c r="L12" s="8" t="str">
        <f>IF('1 - Mix Reference'!I7="","",'1 - Mix Reference'!I7)</f>
        <v/>
      </c>
      <c r="M12" s="9" t="str">
        <f t="shared" si="1"/>
        <v/>
      </c>
      <c r="N12" s="9" t="str">
        <f t="shared" si="2"/>
        <v/>
      </c>
      <c r="O12" s="9" t="str">
        <f t="shared" si="3"/>
        <v/>
      </c>
      <c r="P12" s="6"/>
    </row>
    <row r="13" spans="1:16" x14ac:dyDescent="0.3">
      <c r="A13" s="10" t="s">
        <v>55</v>
      </c>
      <c r="B13" s="10">
        <v>200</v>
      </c>
      <c r="C13" s="10">
        <v>3</v>
      </c>
      <c r="D13" s="6"/>
      <c r="E13" s="6"/>
      <c r="F13" s="6"/>
      <c r="G13" s="6"/>
      <c r="H13" s="6"/>
      <c r="I13" s="6"/>
      <c r="J13" s="6"/>
      <c r="K13" s="7" t="str">
        <f t="shared" si="0"/>
        <v/>
      </c>
      <c r="L13" s="8" t="str">
        <f>IF('1 - Mix Reference'!I7="","",'1 - Mix Reference'!I7)</f>
        <v/>
      </c>
      <c r="M13" s="9" t="str">
        <f t="shared" si="1"/>
        <v/>
      </c>
      <c r="N13" s="9" t="str">
        <f t="shared" si="2"/>
        <v/>
      </c>
      <c r="O13" s="9" t="str">
        <f t="shared" si="3"/>
        <v/>
      </c>
      <c r="P13" s="6"/>
    </row>
    <row r="14" spans="1:16" x14ac:dyDescent="0.3">
      <c r="A14" s="10" t="s">
        <v>57</v>
      </c>
      <c r="B14" s="10">
        <v>200</v>
      </c>
      <c r="C14" s="10">
        <v>1</v>
      </c>
      <c r="D14" s="6"/>
      <c r="E14" s="6"/>
      <c r="F14" s="6"/>
      <c r="G14" s="6"/>
      <c r="H14" s="6"/>
      <c r="I14" s="6"/>
      <c r="J14" s="6"/>
      <c r="K14" s="7" t="str">
        <f t="shared" si="0"/>
        <v/>
      </c>
      <c r="L14" s="8" t="str">
        <f>IF('1 - Mix Reference'!I8="","",'1 - Mix Reference'!I8)</f>
        <v/>
      </c>
      <c r="M14" s="9" t="str">
        <f t="shared" si="1"/>
        <v/>
      </c>
      <c r="N14" s="9" t="str">
        <f t="shared" si="2"/>
        <v/>
      </c>
      <c r="O14" s="9" t="str">
        <f t="shared" si="3"/>
        <v/>
      </c>
      <c r="P14" s="6"/>
    </row>
    <row r="15" spans="1:16" x14ac:dyDescent="0.3">
      <c r="A15" s="5" t="s">
        <v>57</v>
      </c>
      <c r="B15" s="5">
        <v>200</v>
      </c>
      <c r="C15" s="5">
        <v>2</v>
      </c>
      <c r="D15" s="6"/>
      <c r="E15" s="6"/>
      <c r="F15" s="6"/>
      <c r="G15" s="6"/>
      <c r="H15" s="6"/>
      <c r="I15" s="6"/>
      <c r="J15" s="6"/>
      <c r="K15" s="7" t="str">
        <f t="shared" si="0"/>
        <v/>
      </c>
      <c r="L15" s="8" t="str">
        <f>IF('1 - Mix Reference'!I8="","",'1 - Mix Reference'!I8)</f>
        <v/>
      </c>
      <c r="M15" s="9" t="str">
        <f t="shared" si="1"/>
        <v/>
      </c>
      <c r="N15" s="9" t="str">
        <f t="shared" si="2"/>
        <v/>
      </c>
      <c r="O15" s="9" t="str">
        <f t="shared" si="3"/>
        <v/>
      </c>
      <c r="P15" s="6"/>
    </row>
    <row r="16" spans="1:16" x14ac:dyDescent="0.3">
      <c r="A16" s="5" t="s">
        <v>57</v>
      </c>
      <c r="B16" s="5">
        <v>200</v>
      </c>
      <c r="C16" s="5">
        <v>3</v>
      </c>
      <c r="D16" s="6"/>
      <c r="E16" s="6"/>
      <c r="F16" s="6"/>
      <c r="G16" s="6"/>
      <c r="H16" s="6"/>
      <c r="I16" s="6"/>
      <c r="J16" s="6"/>
      <c r="K16" s="7" t="str">
        <f t="shared" si="0"/>
        <v/>
      </c>
      <c r="L16" s="8" t="str">
        <f>IF('1 - Mix Reference'!I8="","",'1 - Mix Reference'!I8)</f>
        <v/>
      </c>
      <c r="M16" s="9" t="str">
        <f t="shared" si="1"/>
        <v/>
      </c>
      <c r="N16" s="9" t="str">
        <f t="shared" si="2"/>
        <v/>
      </c>
      <c r="O16" s="9" t="str">
        <f t="shared" si="3"/>
        <v/>
      </c>
      <c r="P16" s="6"/>
    </row>
    <row r="17" spans="1:16" x14ac:dyDescent="0.3">
      <c r="A17" s="5" t="s">
        <v>59</v>
      </c>
      <c r="B17" s="5">
        <v>200</v>
      </c>
      <c r="C17" s="5">
        <v>1</v>
      </c>
      <c r="D17" s="6"/>
      <c r="E17" s="6"/>
      <c r="F17" s="6"/>
      <c r="G17" s="6"/>
      <c r="H17" s="6"/>
      <c r="I17" s="6"/>
      <c r="J17" s="6"/>
      <c r="K17" s="7" t="str">
        <f t="shared" si="0"/>
        <v/>
      </c>
      <c r="L17" s="8" t="str">
        <f>IF('1 - Mix Reference'!I9="","",'1 - Mix Reference'!I9)</f>
        <v/>
      </c>
      <c r="M17" s="9" t="str">
        <f t="shared" si="1"/>
        <v/>
      </c>
      <c r="N17" s="9" t="str">
        <f t="shared" si="2"/>
        <v/>
      </c>
      <c r="O17" s="9" t="str">
        <f t="shared" si="3"/>
        <v/>
      </c>
      <c r="P17" s="6"/>
    </row>
    <row r="18" spans="1:16" x14ac:dyDescent="0.3">
      <c r="A18" s="10" t="s">
        <v>59</v>
      </c>
      <c r="B18" s="10">
        <v>200</v>
      </c>
      <c r="C18" s="10">
        <v>2</v>
      </c>
      <c r="D18" s="6"/>
      <c r="E18" s="6"/>
      <c r="F18" s="6"/>
      <c r="G18" s="6"/>
      <c r="H18" s="6"/>
      <c r="I18" s="6"/>
      <c r="J18" s="6"/>
      <c r="K18" s="7" t="str">
        <f t="shared" si="0"/>
        <v/>
      </c>
      <c r="L18" s="8" t="str">
        <f>IF('1 - Mix Reference'!I9="","",'1 - Mix Reference'!I9)</f>
        <v/>
      </c>
      <c r="M18" s="9" t="str">
        <f t="shared" si="1"/>
        <v/>
      </c>
      <c r="N18" s="9" t="str">
        <f t="shared" si="2"/>
        <v/>
      </c>
      <c r="O18" s="9" t="str">
        <f t="shared" si="3"/>
        <v/>
      </c>
      <c r="P18" s="6"/>
    </row>
    <row r="19" spans="1:16" x14ac:dyDescent="0.3">
      <c r="A19" s="10" t="s">
        <v>59</v>
      </c>
      <c r="B19" s="10">
        <v>200</v>
      </c>
      <c r="C19" s="10">
        <v>3</v>
      </c>
      <c r="D19" s="6"/>
      <c r="E19" s="6"/>
      <c r="F19" s="6"/>
      <c r="G19" s="6"/>
      <c r="H19" s="6"/>
      <c r="I19" s="6"/>
      <c r="J19" s="6"/>
      <c r="K19" s="7" t="str">
        <f t="shared" si="0"/>
        <v/>
      </c>
      <c r="L19" s="8" t="str">
        <f>IF('1 - Mix Reference'!I9="","",'1 - Mix Reference'!I9)</f>
        <v/>
      </c>
      <c r="M19" s="9" t="str">
        <f t="shared" si="1"/>
        <v/>
      </c>
      <c r="N19" s="9" t="str">
        <f t="shared" si="2"/>
        <v/>
      </c>
      <c r="O19" s="9" t="str">
        <f t="shared" si="3"/>
        <v/>
      </c>
      <c r="P19" s="6"/>
    </row>
    <row r="20" spans="1:16" x14ac:dyDescent="0.3">
      <c r="A20" s="10" t="s">
        <v>61</v>
      </c>
      <c r="B20" s="10">
        <v>200</v>
      </c>
      <c r="C20" s="10">
        <v>1</v>
      </c>
      <c r="D20" s="6"/>
      <c r="E20" s="6"/>
      <c r="F20" s="6"/>
      <c r="G20" s="6"/>
      <c r="H20" s="6"/>
      <c r="I20" s="6"/>
      <c r="J20" s="6"/>
      <c r="K20" s="7" t="str">
        <f t="shared" si="0"/>
        <v/>
      </c>
      <c r="L20" s="8" t="str">
        <f>IF('1 - Mix Reference'!I10="","",'1 - Mix Reference'!I10)</f>
        <v/>
      </c>
      <c r="M20" s="9" t="str">
        <f t="shared" si="1"/>
        <v/>
      </c>
      <c r="N20" s="9" t="str">
        <f t="shared" si="2"/>
        <v/>
      </c>
      <c r="O20" s="9" t="str">
        <f t="shared" si="3"/>
        <v/>
      </c>
      <c r="P20" s="6"/>
    </row>
    <row r="21" spans="1:16" x14ac:dyDescent="0.3">
      <c r="A21" s="5" t="s">
        <v>61</v>
      </c>
      <c r="B21" s="5">
        <v>200</v>
      </c>
      <c r="C21" s="5">
        <v>2</v>
      </c>
      <c r="D21" s="6"/>
      <c r="E21" s="6"/>
      <c r="F21" s="6"/>
      <c r="G21" s="6"/>
      <c r="H21" s="6"/>
      <c r="I21" s="6"/>
      <c r="J21" s="6"/>
      <c r="K21" s="7" t="str">
        <f t="shared" si="0"/>
        <v/>
      </c>
      <c r="L21" s="8" t="str">
        <f>IF('1 - Mix Reference'!I10="","",'1 - Mix Reference'!I10)</f>
        <v/>
      </c>
      <c r="M21" s="9" t="str">
        <f t="shared" si="1"/>
        <v/>
      </c>
      <c r="N21" s="9" t="str">
        <f t="shared" si="2"/>
        <v/>
      </c>
      <c r="O21" s="9" t="str">
        <f t="shared" si="3"/>
        <v/>
      </c>
      <c r="P21" s="6"/>
    </row>
    <row r="22" spans="1:16" x14ac:dyDescent="0.3">
      <c r="A22" s="5" t="s">
        <v>61</v>
      </c>
      <c r="B22" s="5">
        <v>200</v>
      </c>
      <c r="C22" s="5">
        <v>3</v>
      </c>
      <c r="D22" s="6"/>
      <c r="E22" s="6"/>
      <c r="F22" s="6"/>
      <c r="G22" s="6"/>
      <c r="H22" s="6"/>
      <c r="I22" s="6"/>
      <c r="J22" s="6"/>
      <c r="K22" s="7" t="str">
        <f t="shared" si="0"/>
        <v/>
      </c>
      <c r="L22" s="8" t="str">
        <f>IF('1 - Mix Reference'!I10="","",'1 - Mix Reference'!I10)</f>
        <v/>
      </c>
      <c r="M22" s="9" t="str">
        <f t="shared" si="1"/>
        <v/>
      </c>
      <c r="N22" s="9" t="str">
        <f t="shared" si="2"/>
        <v/>
      </c>
      <c r="O22" s="9" t="str">
        <f t="shared" si="3"/>
        <v/>
      </c>
      <c r="P22" s="6"/>
    </row>
    <row r="23" spans="1:16" x14ac:dyDescent="0.3">
      <c r="A23" s="5" t="s">
        <v>63</v>
      </c>
      <c r="B23" s="5">
        <v>200</v>
      </c>
      <c r="C23" s="5">
        <v>1</v>
      </c>
      <c r="D23" s="6"/>
      <c r="E23" s="6"/>
      <c r="F23" s="6"/>
      <c r="G23" s="6"/>
      <c r="H23" s="6"/>
      <c r="I23" s="6"/>
      <c r="J23" s="6"/>
      <c r="K23" s="7" t="str">
        <f t="shared" si="0"/>
        <v/>
      </c>
      <c r="L23" s="8" t="str">
        <f>IF('1 - Mix Reference'!I11="","",'1 - Mix Reference'!I11)</f>
        <v/>
      </c>
      <c r="M23" s="9" t="str">
        <f t="shared" si="1"/>
        <v/>
      </c>
      <c r="N23" s="9" t="str">
        <f t="shared" si="2"/>
        <v/>
      </c>
      <c r="O23" s="9" t="str">
        <f t="shared" si="3"/>
        <v/>
      </c>
      <c r="P23" s="6"/>
    </row>
    <row r="24" spans="1:16" x14ac:dyDescent="0.3">
      <c r="A24" s="10" t="s">
        <v>63</v>
      </c>
      <c r="B24" s="10">
        <v>200</v>
      </c>
      <c r="C24" s="10">
        <v>2</v>
      </c>
      <c r="D24" s="6"/>
      <c r="E24" s="6"/>
      <c r="F24" s="6"/>
      <c r="G24" s="6"/>
      <c r="H24" s="6"/>
      <c r="I24" s="6"/>
      <c r="J24" s="6"/>
      <c r="K24" s="7" t="str">
        <f t="shared" si="0"/>
        <v/>
      </c>
      <c r="L24" s="8" t="str">
        <f>IF('1 - Mix Reference'!I11="","",'1 - Mix Reference'!I11)</f>
        <v/>
      </c>
      <c r="M24" s="9" t="str">
        <f t="shared" si="1"/>
        <v/>
      </c>
      <c r="N24" s="9" t="str">
        <f t="shared" si="2"/>
        <v/>
      </c>
      <c r="O24" s="9" t="str">
        <f t="shared" si="3"/>
        <v/>
      </c>
      <c r="P24" s="6"/>
    </row>
    <row r="25" spans="1:16" x14ac:dyDescent="0.3">
      <c r="A25" s="10" t="s">
        <v>63</v>
      </c>
      <c r="B25" s="10">
        <v>200</v>
      </c>
      <c r="C25" s="10">
        <v>3</v>
      </c>
      <c r="D25" s="6"/>
      <c r="E25" s="6"/>
      <c r="F25" s="6"/>
      <c r="G25" s="6"/>
      <c r="H25" s="6"/>
      <c r="I25" s="6"/>
      <c r="J25" s="6"/>
      <c r="K25" s="7" t="str">
        <f t="shared" si="0"/>
        <v/>
      </c>
      <c r="L25" s="8" t="str">
        <f>IF('1 - Mix Reference'!I11="","",'1 - Mix Reference'!I11)</f>
        <v/>
      </c>
      <c r="M25" s="9" t="str">
        <f t="shared" si="1"/>
        <v/>
      </c>
      <c r="N25" s="9" t="str">
        <f t="shared" si="2"/>
        <v/>
      </c>
      <c r="O25" s="9" t="str">
        <f t="shared" si="3"/>
        <v/>
      </c>
      <c r="P25" s="6"/>
    </row>
    <row r="26" spans="1:16" x14ac:dyDescent="0.3">
      <c r="A26" s="10" t="s">
        <v>67</v>
      </c>
      <c r="B26" s="10">
        <v>200</v>
      </c>
      <c r="C26" s="10">
        <v>1</v>
      </c>
      <c r="D26" s="6"/>
      <c r="E26" s="6"/>
      <c r="F26" s="6"/>
      <c r="G26" s="6"/>
      <c r="H26" s="6"/>
      <c r="I26" s="6"/>
      <c r="J26" s="6"/>
      <c r="K26" s="7" t="str">
        <f t="shared" si="0"/>
        <v/>
      </c>
      <c r="L26" s="8" t="str">
        <f>IF('1 - Mix Reference'!I12="","",'1 - Mix Reference'!I12)</f>
        <v/>
      </c>
      <c r="M26" s="9" t="str">
        <f t="shared" si="1"/>
        <v/>
      </c>
      <c r="N26" s="9" t="str">
        <f t="shared" si="2"/>
        <v/>
      </c>
      <c r="O26" s="9" t="str">
        <f t="shared" si="3"/>
        <v/>
      </c>
      <c r="P26" s="6"/>
    </row>
    <row r="27" spans="1:16" x14ac:dyDescent="0.3">
      <c r="A27" s="5" t="s">
        <v>67</v>
      </c>
      <c r="B27" s="5">
        <v>200</v>
      </c>
      <c r="C27" s="5">
        <v>2</v>
      </c>
      <c r="D27" s="6"/>
      <c r="E27" s="6"/>
      <c r="F27" s="6"/>
      <c r="G27" s="6"/>
      <c r="H27" s="6"/>
      <c r="I27" s="6"/>
      <c r="J27" s="6"/>
      <c r="K27" s="7" t="str">
        <f t="shared" si="0"/>
        <v/>
      </c>
      <c r="L27" s="8" t="str">
        <f>IF('1 - Mix Reference'!I12="","",'1 - Mix Reference'!I12)</f>
        <v/>
      </c>
      <c r="M27" s="9" t="str">
        <f t="shared" si="1"/>
        <v/>
      </c>
      <c r="N27" s="9" t="str">
        <f t="shared" si="2"/>
        <v/>
      </c>
      <c r="O27" s="9" t="str">
        <f t="shared" si="3"/>
        <v/>
      </c>
      <c r="P27" s="6"/>
    </row>
    <row r="28" spans="1:16" x14ac:dyDescent="0.3">
      <c r="A28" s="5" t="s">
        <v>67</v>
      </c>
      <c r="B28" s="5">
        <v>200</v>
      </c>
      <c r="C28" s="5">
        <v>3</v>
      </c>
      <c r="D28" s="6"/>
      <c r="E28" s="6"/>
      <c r="F28" s="6"/>
      <c r="G28" s="6"/>
      <c r="H28" s="6"/>
      <c r="I28" s="6"/>
      <c r="J28" s="6"/>
      <c r="K28" s="7" t="str">
        <f t="shared" si="0"/>
        <v/>
      </c>
      <c r="L28" s="8" t="str">
        <f>IF('1 - Mix Reference'!I12="","",'1 - Mix Reference'!I12)</f>
        <v/>
      </c>
      <c r="M28" s="9" t="str">
        <f t="shared" si="1"/>
        <v/>
      </c>
      <c r="N28" s="9" t="str">
        <f t="shared" si="2"/>
        <v/>
      </c>
      <c r="O28" s="9" t="str">
        <f t="shared" si="3"/>
        <v/>
      </c>
      <c r="P28" s="6"/>
    </row>
    <row r="29" spans="1:16" x14ac:dyDescent="0.3">
      <c r="A29" s="5" t="s">
        <v>69</v>
      </c>
      <c r="B29" s="5">
        <v>200</v>
      </c>
      <c r="C29" s="5">
        <v>1</v>
      </c>
      <c r="D29" s="6"/>
      <c r="E29" s="6"/>
      <c r="F29" s="6"/>
      <c r="G29" s="6"/>
      <c r="H29" s="6"/>
      <c r="I29" s="6"/>
      <c r="J29" s="6"/>
      <c r="K29" s="7" t="str">
        <f t="shared" si="0"/>
        <v/>
      </c>
      <c r="L29" s="8" t="str">
        <f>IF('1 - Mix Reference'!I13="","",'1 - Mix Reference'!I13)</f>
        <v/>
      </c>
      <c r="M29" s="9" t="str">
        <f t="shared" si="1"/>
        <v/>
      </c>
      <c r="N29" s="9" t="str">
        <f t="shared" si="2"/>
        <v/>
      </c>
      <c r="O29" s="9" t="str">
        <f t="shared" si="3"/>
        <v/>
      </c>
      <c r="P29" s="6"/>
    </row>
    <row r="30" spans="1:16" x14ac:dyDescent="0.3">
      <c r="A30" s="10" t="s">
        <v>69</v>
      </c>
      <c r="B30" s="10">
        <v>200</v>
      </c>
      <c r="C30" s="10">
        <v>2</v>
      </c>
      <c r="D30" s="6"/>
      <c r="E30" s="6"/>
      <c r="F30" s="6"/>
      <c r="G30" s="6"/>
      <c r="H30" s="6"/>
      <c r="I30" s="6"/>
      <c r="J30" s="6"/>
      <c r="K30" s="7" t="str">
        <f t="shared" si="0"/>
        <v/>
      </c>
      <c r="L30" s="8" t="str">
        <f>IF('1 - Mix Reference'!I13="","",'1 - Mix Reference'!I13)</f>
        <v/>
      </c>
      <c r="M30" s="9" t="str">
        <f t="shared" si="1"/>
        <v/>
      </c>
      <c r="N30" s="9" t="str">
        <f t="shared" si="2"/>
        <v/>
      </c>
      <c r="O30" s="9" t="str">
        <f t="shared" si="3"/>
        <v/>
      </c>
      <c r="P30" s="6"/>
    </row>
    <row r="31" spans="1:16" x14ac:dyDescent="0.3">
      <c r="A31" s="10" t="s">
        <v>69</v>
      </c>
      <c r="B31" s="10">
        <v>200</v>
      </c>
      <c r="C31" s="10">
        <v>3</v>
      </c>
      <c r="D31" s="6"/>
      <c r="E31" s="6"/>
      <c r="F31" s="6"/>
      <c r="G31" s="6"/>
      <c r="H31" s="6"/>
      <c r="I31" s="6"/>
      <c r="J31" s="6"/>
      <c r="K31" s="7" t="str">
        <f t="shared" si="0"/>
        <v/>
      </c>
      <c r="L31" s="8" t="str">
        <f>IF('1 - Mix Reference'!I13="","",'1 - Mix Reference'!I13)</f>
        <v/>
      </c>
      <c r="M31" s="9" t="str">
        <f t="shared" si="1"/>
        <v/>
      </c>
      <c r="N31" s="9" t="str">
        <f t="shared" si="2"/>
        <v/>
      </c>
      <c r="O31" s="9" t="str">
        <f t="shared" si="3"/>
        <v/>
      </c>
      <c r="P31" s="6"/>
    </row>
    <row r="32" spans="1:16" x14ac:dyDescent="0.3">
      <c r="A32" s="10" t="s">
        <v>70</v>
      </c>
      <c r="B32" s="10">
        <v>200</v>
      </c>
      <c r="C32" s="10">
        <v>1</v>
      </c>
      <c r="D32" s="6"/>
      <c r="E32" s="6"/>
      <c r="F32" s="6"/>
      <c r="G32" s="6"/>
      <c r="H32" s="6"/>
      <c r="I32" s="6"/>
      <c r="J32" s="6"/>
      <c r="K32" s="7" t="str">
        <f t="shared" si="0"/>
        <v/>
      </c>
      <c r="L32" s="8" t="str">
        <f>IF('1 - Mix Reference'!I14="","",'1 - Mix Reference'!I14)</f>
        <v/>
      </c>
      <c r="M32" s="9" t="str">
        <f t="shared" si="1"/>
        <v/>
      </c>
      <c r="N32" s="9" t="str">
        <f t="shared" si="2"/>
        <v/>
      </c>
      <c r="O32" s="9" t="str">
        <f t="shared" si="3"/>
        <v/>
      </c>
      <c r="P32" s="6"/>
    </row>
    <row r="33" spans="1:16" x14ac:dyDescent="0.3">
      <c r="A33" s="5" t="s">
        <v>70</v>
      </c>
      <c r="B33" s="5">
        <v>200</v>
      </c>
      <c r="C33" s="5">
        <v>2</v>
      </c>
      <c r="D33" s="6"/>
      <c r="E33" s="6"/>
      <c r="F33" s="6"/>
      <c r="G33" s="6"/>
      <c r="H33" s="6"/>
      <c r="I33" s="6"/>
      <c r="J33" s="6"/>
      <c r="K33" s="7" t="str">
        <f t="shared" si="0"/>
        <v/>
      </c>
      <c r="L33" s="8" t="str">
        <f>IF('1 - Mix Reference'!I14="","",'1 - Mix Reference'!I14)</f>
        <v/>
      </c>
      <c r="M33" s="9" t="str">
        <f t="shared" si="1"/>
        <v/>
      </c>
      <c r="N33" s="9" t="str">
        <f t="shared" si="2"/>
        <v/>
      </c>
      <c r="O33" s="9" t="str">
        <f t="shared" si="3"/>
        <v/>
      </c>
      <c r="P33" s="6"/>
    </row>
    <row r="34" spans="1:16" x14ac:dyDescent="0.3">
      <c r="A34" s="5" t="s">
        <v>70</v>
      </c>
      <c r="B34" s="5">
        <v>200</v>
      </c>
      <c r="C34" s="5">
        <v>3</v>
      </c>
      <c r="D34" s="6"/>
      <c r="E34" s="6"/>
      <c r="F34" s="6"/>
      <c r="G34" s="6"/>
      <c r="H34" s="6"/>
      <c r="I34" s="6"/>
      <c r="J34" s="6"/>
      <c r="K34" s="7" t="str">
        <f t="shared" si="0"/>
        <v/>
      </c>
      <c r="L34" s="8" t="str">
        <f>IF('1 - Mix Reference'!I14="","",'1 - Mix Reference'!I14)</f>
        <v/>
      </c>
      <c r="M34" s="9" t="str">
        <f t="shared" si="1"/>
        <v/>
      </c>
      <c r="N34" s="9" t="str">
        <f t="shared" si="2"/>
        <v/>
      </c>
      <c r="O34" s="9" t="str">
        <f t="shared" si="3"/>
        <v/>
      </c>
      <c r="P34" s="6"/>
    </row>
    <row r="35" spans="1:16" x14ac:dyDescent="0.3">
      <c r="A35" s="5" t="s">
        <v>73</v>
      </c>
      <c r="B35" s="5">
        <v>200</v>
      </c>
      <c r="C35" s="5">
        <v>1</v>
      </c>
      <c r="D35" s="6"/>
      <c r="E35" s="6"/>
      <c r="F35" s="6"/>
      <c r="G35" s="6"/>
      <c r="H35" s="6"/>
      <c r="I35" s="6"/>
      <c r="J35" s="6"/>
      <c r="K35" s="7" t="str">
        <f t="shared" si="0"/>
        <v/>
      </c>
      <c r="L35" s="8" t="str">
        <f>IF('1 - Mix Reference'!I15="","",'1 - Mix Reference'!I15)</f>
        <v/>
      </c>
      <c r="M35" s="9" t="str">
        <f t="shared" si="1"/>
        <v/>
      </c>
      <c r="N35" s="9" t="str">
        <f t="shared" si="2"/>
        <v/>
      </c>
      <c r="O35" s="9" t="str">
        <f t="shared" si="3"/>
        <v/>
      </c>
      <c r="P35" s="6"/>
    </row>
    <row r="36" spans="1:16" x14ac:dyDescent="0.3">
      <c r="A36" s="10" t="s">
        <v>73</v>
      </c>
      <c r="B36" s="10">
        <v>200</v>
      </c>
      <c r="C36" s="10">
        <v>2</v>
      </c>
      <c r="D36" s="6"/>
      <c r="E36" s="6"/>
      <c r="F36" s="6"/>
      <c r="G36" s="6"/>
      <c r="H36" s="6"/>
      <c r="I36" s="6"/>
      <c r="J36" s="6"/>
      <c r="K36" s="7" t="str">
        <f t="shared" si="0"/>
        <v/>
      </c>
      <c r="L36" s="8" t="str">
        <f>IF('1 - Mix Reference'!I15="","",'1 - Mix Reference'!I15)</f>
        <v/>
      </c>
      <c r="M36" s="9" t="str">
        <f t="shared" si="1"/>
        <v/>
      </c>
      <c r="N36" s="9" t="str">
        <f t="shared" si="2"/>
        <v/>
      </c>
      <c r="O36" s="9" t="str">
        <f t="shared" si="3"/>
        <v/>
      </c>
      <c r="P36" s="6"/>
    </row>
    <row r="37" spans="1:16" x14ac:dyDescent="0.3">
      <c r="A37" s="10" t="s">
        <v>73</v>
      </c>
      <c r="B37" s="10">
        <v>200</v>
      </c>
      <c r="C37" s="10">
        <v>3</v>
      </c>
      <c r="D37" s="6"/>
      <c r="E37" s="6"/>
      <c r="F37" s="6"/>
      <c r="G37" s="6"/>
      <c r="H37" s="6"/>
      <c r="I37" s="6"/>
      <c r="J37" s="6"/>
      <c r="K37" s="7" t="str">
        <f t="shared" ref="K37:K68" si="4">IF(J37="","",J37*1000)</f>
        <v/>
      </c>
      <c r="L37" s="8" t="str">
        <f>IF('1 - Mix Reference'!I15="","",'1 - Mix Reference'!I15)</f>
        <v/>
      </c>
      <c r="M37" s="9" t="str">
        <f t="shared" ref="M37:M68" si="5">IF(OR(D37="",F37=""),"",((D37-F37)/D37)*100)</f>
        <v/>
      </c>
      <c r="N37" s="9" t="str">
        <f t="shared" ref="N37:N68" si="6">IF(K37="","",K37/10000)</f>
        <v/>
      </c>
      <c r="O37" s="9" t="str">
        <f t="shared" ref="O37:O68" si="7">IF(OR(N37="",L37="",L37=0),"",(N37/L37)*100)</f>
        <v/>
      </c>
      <c r="P37" s="6"/>
    </row>
    <row r="38" spans="1:16" x14ac:dyDescent="0.3">
      <c r="A38" s="10" t="s">
        <v>74</v>
      </c>
      <c r="B38" s="10">
        <v>200</v>
      </c>
      <c r="C38" s="10">
        <v>1</v>
      </c>
      <c r="D38" s="6"/>
      <c r="E38" s="6"/>
      <c r="F38" s="6"/>
      <c r="G38" s="6"/>
      <c r="H38" s="6"/>
      <c r="I38" s="6"/>
      <c r="J38" s="6"/>
      <c r="K38" s="7" t="str">
        <f t="shared" si="4"/>
        <v/>
      </c>
      <c r="L38" s="8" t="str">
        <f>IF('1 - Mix Reference'!I16="","",'1 - Mix Reference'!I16)</f>
        <v/>
      </c>
      <c r="M38" s="9" t="str">
        <f t="shared" si="5"/>
        <v/>
      </c>
      <c r="N38" s="9" t="str">
        <f t="shared" si="6"/>
        <v/>
      </c>
      <c r="O38" s="9" t="str">
        <f t="shared" si="7"/>
        <v/>
      </c>
      <c r="P38" s="6"/>
    </row>
    <row r="39" spans="1:16" x14ac:dyDescent="0.3">
      <c r="A39" s="5" t="s">
        <v>74</v>
      </c>
      <c r="B39" s="5">
        <v>200</v>
      </c>
      <c r="C39" s="5">
        <v>2</v>
      </c>
      <c r="D39" s="6"/>
      <c r="E39" s="6"/>
      <c r="F39" s="6"/>
      <c r="G39" s="6"/>
      <c r="H39" s="6"/>
      <c r="I39" s="6"/>
      <c r="J39" s="6"/>
      <c r="K39" s="7" t="str">
        <f t="shared" si="4"/>
        <v/>
      </c>
      <c r="L39" s="8" t="str">
        <f>IF('1 - Mix Reference'!I16="","",'1 - Mix Reference'!I16)</f>
        <v/>
      </c>
      <c r="M39" s="9" t="str">
        <f t="shared" si="5"/>
        <v/>
      </c>
      <c r="N39" s="9" t="str">
        <f t="shared" si="6"/>
        <v/>
      </c>
      <c r="O39" s="9" t="str">
        <f t="shared" si="7"/>
        <v/>
      </c>
      <c r="P39" s="6"/>
    </row>
    <row r="40" spans="1:16" x14ac:dyDescent="0.3">
      <c r="A40" s="5" t="s">
        <v>74</v>
      </c>
      <c r="B40" s="5">
        <v>200</v>
      </c>
      <c r="C40" s="5">
        <v>3</v>
      </c>
      <c r="D40" s="6"/>
      <c r="E40" s="6"/>
      <c r="F40" s="6"/>
      <c r="G40" s="6"/>
      <c r="H40" s="6"/>
      <c r="I40" s="6"/>
      <c r="J40" s="6"/>
      <c r="K40" s="7" t="str">
        <f t="shared" si="4"/>
        <v/>
      </c>
      <c r="L40" s="8" t="str">
        <f>IF('1 - Mix Reference'!I16="","",'1 - Mix Reference'!I16)</f>
        <v/>
      </c>
      <c r="M40" s="9" t="str">
        <f t="shared" si="5"/>
        <v/>
      </c>
      <c r="N40" s="9" t="str">
        <f t="shared" si="6"/>
        <v/>
      </c>
      <c r="O40" s="9" t="str">
        <f t="shared" si="7"/>
        <v/>
      </c>
      <c r="P40" s="6"/>
    </row>
    <row r="41" spans="1:16" x14ac:dyDescent="0.3">
      <c r="A41" s="5" t="s">
        <v>48</v>
      </c>
      <c r="B41" s="5">
        <v>400</v>
      </c>
      <c r="C41" s="5">
        <v>1</v>
      </c>
      <c r="D41" s="6"/>
      <c r="E41" s="6"/>
      <c r="F41" s="6"/>
      <c r="G41" s="6"/>
      <c r="H41" s="6"/>
      <c r="I41" s="6"/>
      <c r="J41" s="6"/>
      <c r="K41" s="7" t="str">
        <f t="shared" si="4"/>
        <v/>
      </c>
      <c r="L41" s="8" t="str">
        <f>IF('1 - Mix Reference'!I5="","",'1 - Mix Reference'!I5)</f>
        <v/>
      </c>
      <c r="M41" s="9" t="str">
        <f t="shared" si="5"/>
        <v/>
      </c>
      <c r="N41" s="9" t="str">
        <f t="shared" si="6"/>
        <v/>
      </c>
      <c r="O41" s="9" t="str">
        <f t="shared" si="7"/>
        <v/>
      </c>
      <c r="P41" s="6"/>
    </row>
    <row r="42" spans="1:16" x14ac:dyDescent="0.3">
      <c r="A42" s="10" t="s">
        <v>48</v>
      </c>
      <c r="B42" s="10">
        <v>400</v>
      </c>
      <c r="C42" s="10">
        <v>2</v>
      </c>
      <c r="D42" s="6"/>
      <c r="E42" s="6"/>
      <c r="F42" s="6"/>
      <c r="G42" s="6"/>
      <c r="H42" s="6"/>
      <c r="I42" s="6"/>
      <c r="J42" s="6"/>
      <c r="K42" s="7" t="str">
        <f t="shared" si="4"/>
        <v/>
      </c>
      <c r="L42" s="8" t="str">
        <f>IF('1 - Mix Reference'!I5="","",'1 - Mix Reference'!I5)</f>
        <v/>
      </c>
      <c r="M42" s="9" t="str">
        <f t="shared" si="5"/>
        <v/>
      </c>
      <c r="N42" s="9" t="str">
        <f t="shared" si="6"/>
        <v/>
      </c>
      <c r="O42" s="9" t="str">
        <f t="shared" si="7"/>
        <v/>
      </c>
      <c r="P42" s="6"/>
    </row>
    <row r="43" spans="1:16" x14ac:dyDescent="0.3">
      <c r="A43" s="10" t="s">
        <v>48</v>
      </c>
      <c r="B43" s="10">
        <v>400</v>
      </c>
      <c r="C43" s="10">
        <v>3</v>
      </c>
      <c r="D43" s="6"/>
      <c r="E43" s="6"/>
      <c r="F43" s="6"/>
      <c r="G43" s="6"/>
      <c r="H43" s="6"/>
      <c r="I43" s="6"/>
      <c r="J43" s="6"/>
      <c r="K43" s="7" t="str">
        <f t="shared" si="4"/>
        <v/>
      </c>
      <c r="L43" s="8" t="str">
        <f>IF('1 - Mix Reference'!I5="","",'1 - Mix Reference'!I5)</f>
        <v/>
      </c>
      <c r="M43" s="9" t="str">
        <f t="shared" si="5"/>
        <v/>
      </c>
      <c r="N43" s="9" t="str">
        <f t="shared" si="6"/>
        <v/>
      </c>
      <c r="O43" s="9" t="str">
        <f t="shared" si="7"/>
        <v/>
      </c>
      <c r="P43" s="6"/>
    </row>
    <row r="44" spans="1:16" x14ac:dyDescent="0.3">
      <c r="A44" s="10" t="s">
        <v>52</v>
      </c>
      <c r="B44" s="10">
        <v>400</v>
      </c>
      <c r="C44" s="10">
        <v>1</v>
      </c>
      <c r="D44" s="6"/>
      <c r="E44" s="6"/>
      <c r="F44" s="6"/>
      <c r="G44" s="6"/>
      <c r="H44" s="6"/>
      <c r="I44" s="6"/>
      <c r="J44" s="6"/>
      <c r="K44" s="7" t="str">
        <f t="shared" si="4"/>
        <v/>
      </c>
      <c r="L44" s="8" t="str">
        <f>IF('1 - Mix Reference'!I6="","",'1 - Mix Reference'!I6)</f>
        <v/>
      </c>
      <c r="M44" s="9" t="str">
        <f t="shared" si="5"/>
        <v/>
      </c>
      <c r="N44" s="9" t="str">
        <f t="shared" si="6"/>
        <v/>
      </c>
      <c r="O44" s="9" t="str">
        <f t="shared" si="7"/>
        <v/>
      </c>
      <c r="P44" s="6"/>
    </row>
    <row r="45" spans="1:16" x14ac:dyDescent="0.3">
      <c r="A45" s="5" t="s">
        <v>52</v>
      </c>
      <c r="B45" s="5">
        <v>400</v>
      </c>
      <c r="C45" s="5">
        <v>2</v>
      </c>
      <c r="D45" s="6"/>
      <c r="E45" s="6"/>
      <c r="F45" s="6"/>
      <c r="G45" s="6"/>
      <c r="H45" s="6"/>
      <c r="I45" s="6"/>
      <c r="J45" s="6"/>
      <c r="K45" s="7" t="str">
        <f t="shared" si="4"/>
        <v/>
      </c>
      <c r="L45" s="8" t="str">
        <f>IF('1 - Mix Reference'!I6="","",'1 - Mix Reference'!I6)</f>
        <v/>
      </c>
      <c r="M45" s="9" t="str">
        <f t="shared" si="5"/>
        <v/>
      </c>
      <c r="N45" s="9" t="str">
        <f t="shared" si="6"/>
        <v/>
      </c>
      <c r="O45" s="9" t="str">
        <f t="shared" si="7"/>
        <v/>
      </c>
      <c r="P45" s="6"/>
    </row>
    <row r="46" spans="1:16" x14ac:dyDescent="0.3">
      <c r="A46" s="5" t="s">
        <v>52</v>
      </c>
      <c r="B46" s="5">
        <v>400</v>
      </c>
      <c r="C46" s="5">
        <v>3</v>
      </c>
      <c r="D46" s="6"/>
      <c r="E46" s="6"/>
      <c r="F46" s="6"/>
      <c r="G46" s="6"/>
      <c r="H46" s="6"/>
      <c r="I46" s="6"/>
      <c r="J46" s="6"/>
      <c r="K46" s="7" t="str">
        <f t="shared" si="4"/>
        <v/>
      </c>
      <c r="L46" s="8" t="str">
        <f>IF('1 - Mix Reference'!I6="","",'1 - Mix Reference'!I6)</f>
        <v/>
      </c>
      <c r="M46" s="9" t="str">
        <f t="shared" si="5"/>
        <v/>
      </c>
      <c r="N46" s="9" t="str">
        <f t="shared" si="6"/>
        <v/>
      </c>
      <c r="O46" s="9" t="str">
        <f t="shared" si="7"/>
        <v/>
      </c>
      <c r="P46" s="6"/>
    </row>
    <row r="47" spans="1:16" x14ac:dyDescent="0.3">
      <c r="A47" s="5" t="s">
        <v>55</v>
      </c>
      <c r="B47" s="5">
        <v>400</v>
      </c>
      <c r="C47" s="5">
        <v>1</v>
      </c>
      <c r="D47" s="6"/>
      <c r="E47" s="6"/>
      <c r="F47" s="6"/>
      <c r="G47" s="6"/>
      <c r="H47" s="6"/>
      <c r="I47" s="6"/>
      <c r="J47" s="6"/>
      <c r="K47" s="7" t="str">
        <f t="shared" si="4"/>
        <v/>
      </c>
      <c r="L47" s="8" t="str">
        <f>IF('1 - Mix Reference'!I7="","",'1 - Mix Reference'!I7)</f>
        <v/>
      </c>
      <c r="M47" s="9" t="str">
        <f t="shared" si="5"/>
        <v/>
      </c>
      <c r="N47" s="9" t="str">
        <f t="shared" si="6"/>
        <v/>
      </c>
      <c r="O47" s="9" t="str">
        <f t="shared" si="7"/>
        <v/>
      </c>
      <c r="P47" s="6"/>
    </row>
    <row r="48" spans="1:16" x14ac:dyDescent="0.3">
      <c r="A48" s="10" t="s">
        <v>55</v>
      </c>
      <c r="B48" s="10">
        <v>400</v>
      </c>
      <c r="C48" s="10">
        <v>2</v>
      </c>
      <c r="D48" s="6"/>
      <c r="E48" s="6"/>
      <c r="F48" s="6"/>
      <c r="G48" s="6"/>
      <c r="H48" s="6"/>
      <c r="I48" s="6"/>
      <c r="J48" s="6"/>
      <c r="K48" s="7" t="str">
        <f t="shared" si="4"/>
        <v/>
      </c>
      <c r="L48" s="8" t="str">
        <f>IF('1 - Mix Reference'!I7="","",'1 - Mix Reference'!I7)</f>
        <v/>
      </c>
      <c r="M48" s="9" t="str">
        <f t="shared" si="5"/>
        <v/>
      </c>
      <c r="N48" s="9" t="str">
        <f t="shared" si="6"/>
        <v/>
      </c>
      <c r="O48" s="9" t="str">
        <f t="shared" si="7"/>
        <v/>
      </c>
      <c r="P48" s="6"/>
    </row>
    <row r="49" spans="1:16" x14ac:dyDescent="0.3">
      <c r="A49" s="10" t="s">
        <v>55</v>
      </c>
      <c r="B49" s="10">
        <v>400</v>
      </c>
      <c r="C49" s="10">
        <v>3</v>
      </c>
      <c r="D49" s="6"/>
      <c r="E49" s="6"/>
      <c r="F49" s="6"/>
      <c r="G49" s="6"/>
      <c r="H49" s="6"/>
      <c r="I49" s="6"/>
      <c r="J49" s="6"/>
      <c r="K49" s="7" t="str">
        <f t="shared" si="4"/>
        <v/>
      </c>
      <c r="L49" s="8" t="str">
        <f>IF('1 - Mix Reference'!I7="","",'1 - Mix Reference'!I7)</f>
        <v/>
      </c>
      <c r="M49" s="9" t="str">
        <f t="shared" si="5"/>
        <v/>
      </c>
      <c r="N49" s="9" t="str">
        <f t="shared" si="6"/>
        <v/>
      </c>
      <c r="O49" s="9" t="str">
        <f t="shared" si="7"/>
        <v/>
      </c>
      <c r="P49" s="6"/>
    </row>
    <row r="50" spans="1:16" x14ac:dyDescent="0.3">
      <c r="A50" s="10" t="s">
        <v>57</v>
      </c>
      <c r="B50" s="10">
        <v>400</v>
      </c>
      <c r="C50" s="10">
        <v>1</v>
      </c>
      <c r="D50" s="6"/>
      <c r="E50" s="6"/>
      <c r="F50" s="6"/>
      <c r="G50" s="6"/>
      <c r="H50" s="6"/>
      <c r="I50" s="6"/>
      <c r="J50" s="6"/>
      <c r="K50" s="7" t="str">
        <f t="shared" si="4"/>
        <v/>
      </c>
      <c r="L50" s="8" t="str">
        <f>IF('1 - Mix Reference'!I8="","",'1 - Mix Reference'!I8)</f>
        <v/>
      </c>
      <c r="M50" s="9" t="str">
        <f t="shared" si="5"/>
        <v/>
      </c>
      <c r="N50" s="9" t="str">
        <f t="shared" si="6"/>
        <v/>
      </c>
      <c r="O50" s="9" t="str">
        <f t="shared" si="7"/>
        <v/>
      </c>
      <c r="P50" s="6"/>
    </row>
    <row r="51" spans="1:16" x14ac:dyDescent="0.3">
      <c r="A51" s="5" t="s">
        <v>57</v>
      </c>
      <c r="B51" s="5">
        <v>400</v>
      </c>
      <c r="C51" s="5">
        <v>2</v>
      </c>
      <c r="D51" s="6"/>
      <c r="E51" s="6"/>
      <c r="F51" s="6"/>
      <c r="G51" s="6"/>
      <c r="H51" s="6"/>
      <c r="I51" s="6"/>
      <c r="J51" s="6"/>
      <c r="K51" s="7" t="str">
        <f t="shared" si="4"/>
        <v/>
      </c>
      <c r="L51" s="8" t="str">
        <f>IF('1 - Mix Reference'!I8="","",'1 - Mix Reference'!I8)</f>
        <v/>
      </c>
      <c r="M51" s="9" t="str">
        <f t="shared" si="5"/>
        <v/>
      </c>
      <c r="N51" s="9" t="str">
        <f t="shared" si="6"/>
        <v/>
      </c>
      <c r="O51" s="9" t="str">
        <f t="shared" si="7"/>
        <v/>
      </c>
      <c r="P51" s="6"/>
    </row>
    <row r="52" spans="1:16" x14ac:dyDescent="0.3">
      <c r="A52" s="5" t="s">
        <v>57</v>
      </c>
      <c r="B52" s="5">
        <v>400</v>
      </c>
      <c r="C52" s="5">
        <v>3</v>
      </c>
      <c r="D52" s="6"/>
      <c r="E52" s="6"/>
      <c r="F52" s="6"/>
      <c r="G52" s="6"/>
      <c r="H52" s="6"/>
      <c r="I52" s="6"/>
      <c r="J52" s="6"/>
      <c r="K52" s="7" t="str">
        <f t="shared" si="4"/>
        <v/>
      </c>
      <c r="L52" s="8" t="str">
        <f>IF('1 - Mix Reference'!I8="","",'1 - Mix Reference'!I8)</f>
        <v/>
      </c>
      <c r="M52" s="9" t="str">
        <f t="shared" si="5"/>
        <v/>
      </c>
      <c r="N52" s="9" t="str">
        <f t="shared" si="6"/>
        <v/>
      </c>
      <c r="O52" s="9" t="str">
        <f t="shared" si="7"/>
        <v/>
      </c>
      <c r="P52" s="6"/>
    </row>
    <row r="53" spans="1:16" x14ac:dyDescent="0.3">
      <c r="A53" s="5" t="s">
        <v>59</v>
      </c>
      <c r="B53" s="5">
        <v>400</v>
      </c>
      <c r="C53" s="5">
        <v>1</v>
      </c>
      <c r="D53" s="6"/>
      <c r="E53" s="6"/>
      <c r="F53" s="6"/>
      <c r="G53" s="6"/>
      <c r="H53" s="6"/>
      <c r="I53" s="6"/>
      <c r="J53" s="6"/>
      <c r="K53" s="7" t="str">
        <f t="shared" si="4"/>
        <v/>
      </c>
      <c r="L53" s="8" t="str">
        <f>IF('1 - Mix Reference'!I9="","",'1 - Mix Reference'!I9)</f>
        <v/>
      </c>
      <c r="M53" s="9" t="str">
        <f t="shared" si="5"/>
        <v/>
      </c>
      <c r="N53" s="9" t="str">
        <f t="shared" si="6"/>
        <v/>
      </c>
      <c r="O53" s="9" t="str">
        <f t="shared" si="7"/>
        <v/>
      </c>
      <c r="P53" s="6"/>
    </row>
    <row r="54" spans="1:16" x14ac:dyDescent="0.3">
      <c r="A54" s="10" t="s">
        <v>59</v>
      </c>
      <c r="B54" s="10">
        <v>400</v>
      </c>
      <c r="C54" s="10">
        <v>2</v>
      </c>
      <c r="D54" s="6"/>
      <c r="E54" s="6"/>
      <c r="F54" s="6"/>
      <c r="G54" s="6"/>
      <c r="H54" s="6"/>
      <c r="I54" s="6"/>
      <c r="J54" s="6"/>
      <c r="K54" s="7" t="str">
        <f t="shared" si="4"/>
        <v/>
      </c>
      <c r="L54" s="8" t="str">
        <f>IF('1 - Mix Reference'!I9="","",'1 - Mix Reference'!I9)</f>
        <v/>
      </c>
      <c r="M54" s="9" t="str">
        <f t="shared" si="5"/>
        <v/>
      </c>
      <c r="N54" s="9" t="str">
        <f t="shared" si="6"/>
        <v/>
      </c>
      <c r="O54" s="9" t="str">
        <f t="shared" si="7"/>
        <v/>
      </c>
      <c r="P54" s="6"/>
    </row>
    <row r="55" spans="1:16" x14ac:dyDescent="0.3">
      <c r="A55" s="10" t="s">
        <v>59</v>
      </c>
      <c r="B55" s="10">
        <v>400</v>
      </c>
      <c r="C55" s="10">
        <v>3</v>
      </c>
      <c r="D55" s="6"/>
      <c r="E55" s="6"/>
      <c r="F55" s="6"/>
      <c r="G55" s="6"/>
      <c r="H55" s="6"/>
      <c r="I55" s="6"/>
      <c r="J55" s="6"/>
      <c r="K55" s="7" t="str">
        <f t="shared" si="4"/>
        <v/>
      </c>
      <c r="L55" s="8" t="str">
        <f>IF('1 - Mix Reference'!I9="","",'1 - Mix Reference'!I9)</f>
        <v/>
      </c>
      <c r="M55" s="9" t="str">
        <f t="shared" si="5"/>
        <v/>
      </c>
      <c r="N55" s="9" t="str">
        <f t="shared" si="6"/>
        <v/>
      </c>
      <c r="O55" s="9" t="str">
        <f t="shared" si="7"/>
        <v/>
      </c>
      <c r="P55" s="6"/>
    </row>
    <row r="56" spans="1:16" x14ac:dyDescent="0.3">
      <c r="A56" s="10" t="s">
        <v>61</v>
      </c>
      <c r="B56" s="10">
        <v>400</v>
      </c>
      <c r="C56" s="10">
        <v>1</v>
      </c>
      <c r="D56" s="6"/>
      <c r="E56" s="6"/>
      <c r="F56" s="6"/>
      <c r="G56" s="6"/>
      <c r="H56" s="6"/>
      <c r="I56" s="6"/>
      <c r="J56" s="6"/>
      <c r="K56" s="7" t="str">
        <f t="shared" si="4"/>
        <v/>
      </c>
      <c r="L56" s="8" t="str">
        <f>IF('1 - Mix Reference'!I10="","",'1 - Mix Reference'!I10)</f>
        <v/>
      </c>
      <c r="M56" s="9" t="str">
        <f t="shared" si="5"/>
        <v/>
      </c>
      <c r="N56" s="9" t="str">
        <f t="shared" si="6"/>
        <v/>
      </c>
      <c r="O56" s="9" t="str">
        <f t="shared" si="7"/>
        <v/>
      </c>
      <c r="P56" s="6"/>
    </row>
    <row r="57" spans="1:16" x14ac:dyDescent="0.3">
      <c r="A57" s="5" t="s">
        <v>61</v>
      </c>
      <c r="B57" s="5">
        <v>400</v>
      </c>
      <c r="C57" s="5">
        <v>2</v>
      </c>
      <c r="D57" s="6"/>
      <c r="E57" s="6"/>
      <c r="F57" s="6"/>
      <c r="G57" s="6"/>
      <c r="H57" s="6"/>
      <c r="I57" s="6"/>
      <c r="J57" s="6"/>
      <c r="K57" s="7" t="str">
        <f t="shared" si="4"/>
        <v/>
      </c>
      <c r="L57" s="8" t="str">
        <f>IF('1 - Mix Reference'!I10="","",'1 - Mix Reference'!I10)</f>
        <v/>
      </c>
      <c r="M57" s="9" t="str">
        <f t="shared" si="5"/>
        <v/>
      </c>
      <c r="N57" s="9" t="str">
        <f t="shared" si="6"/>
        <v/>
      </c>
      <c r="O57" s="9" t="str">
        <f t="shared" si="7"/>
        <v/>
      </c>
      <c r="P57" s="6"/>
    </row>
    <row r="58" spans="1:16" x14ac:dyDescent="0.3">
      <c r="A58" s="5" t="s">
        <v>61</v>
      </c>
      <c r="B58" s="5">
        <v>400</v>
      </c>
      <c r="C58" s="5">
        <v>3</v>
      </c>
      <c r="D58" s="6"/>
      <c r="E58" s="6"/>
      <c r="F58" s="6"/>
      <c r="G58" s="6"/>
      <c r="H58" s="6"/>
      <c r="I58" s="6"/>
      <c r="J58" s="6"/>
      <c r="K58" s="7" t="str">
        <f t="shared" si="4"/>
        <v/>
      </c>
      <c r="L58" s="8" t="str">
        <f>IF('1 - Mix Reference'!I10="","",'1 - Mix Reference'!I10)</f>
        <v/>
      </c>
      <c r="M58" s="9" t="str">
        <f t="shared" si="5"/>
        <v/>
      </c>
      <c r="N58" s="9" t="str">
        <f t="shared" si="6"/>
        <v/>
      </c>
      <c r="O58" s="9" t="str">
        <f t="shared" si="7"/>
        <v/>
      </c>
      <c r="P58" s="6"/>
    </row>
    <row r="59" spans="1:16" x14ac:dyDescent="0.3">
      <c r="A59" s="5" t="s">
        <v>63</v>
      </c>
      <c r="B59" s="5">
        <v>400</v>
      </c>
      <c r="C59" s="5">
        <v>1</v>
      </c>
      <c r="D59" s="6"/>
      <c r="E59" s="6"/>
      <c r="F59" s="6"/>
      <c r="G59" s="6"/>
      <c r="H59" s="6"/>
      <c r="I59" s="6"/>
      <c r="J59" s="6"/>
      <c r="K59" s="7" t="str">
        <f t="shared" si="4"/>
        <v/>
      </c>
      <c r="L59" s="8" t="str">
        <f>IF('1 - Mix Reference'!I11="","",'1 - Mix Reference'!I11)</f>
        <v/>
      </c>
      <c r="M59" s="9" t="str">
        <f t="shared" si="5"/>
        <v/>
      </c>
      <c r="N59" s="9" t="str">
        <f t="shared" si="6"/>
        <v/>
      </c>
      <c r="O59" s="9" t="str">
        <f t="shared" si="7"/>
        <v/>
      </c>
      <c r="P59" s="6"/>
    </row>
    <row r="60" spans="1:16" x14ac:dyDescent="0.3">
      <c r="A60" s="10" t="s">
        <v>63</v>
      </c>
      <c r="B60" s="10">
        <v>400</v>
      </c>
      <c r="C60" s="10">
        <v>2</v>
      </c>
      <c r="D60" s="6"/>
      <c r="E60" s="6"/>
      <c r="F60" s="6"/>
      <c r="G60" s="6"/>
      <c r="H60" s="6"/>
      <c r="I60" s="6"/>
      <c r="J60" s="6"/>
      <c r="K60" s="7" t="str">
        <f t="shared" si="4"/>
        <v/>
      </c>
      <c r="L60" s="8" t="str">
        <f>IF('1 - Mix Reference'!I11="","",'1 - Mix Reference'!I11)</f>
        <v/>
      </c>
      <c r="M60" s="9" t="str">
        <f t="shared" si="5"/>
        <v/>
      </c>
      <c r="N60" s="9" t="str">
        <f t="shared" si="6"/>
        <v/>
      </c>
      <c r="O60" s="9" t="str">
        <f t="shared" si="7"/>
        <v/>
      </c>
      <c r="P60" s="6"/>
    </row>
    <row r="61" spans="1:16" x14ac:dyDescent="0.3">
      <c r="A61" s="10" t="s">
        <v>63</v>
      </c>
      <c r="B61" s="10">
        <v>400</v>
      </c>
      <c r="C61" s="10">
        <v>3</v>
      </c>
      <c r="D61" s="6"/>
      <c r="E61" s="6"/>
      <c r="F61" s="6"/>
      <c r="G61" s="6"/>
      <c r="H61" s="6"/>
      <c r="I61" s="6"/>
      <c r="J61" s="6"/>
      <c r="K61" s="7" t="str">
        <f t="shared" si="4"/>
        <v/>
      </c>
      <c r="L61" s="8" t="str">
        <f>IF('1 - Mix Reference'!I11="","",'1 - Mix Reference'!I11)</f>
        <v/>
      </c>
      <c r="M61" s="9" t="str">
        <f t="shared" si="5"/>
        <v/>
      </c>
      <c r="N61" s="9" t="str">
        <f t="shared" si="6"/>
        <v/>
      </c>
      <c r="O61" s="9" t="str">
        <f t="shared" si="7"/>
        <v/>
      </c>
      <c r="P61" s="6"/>
    </row>
    <row r="62" spans="1:16" x14ac:dyDescent="0.3">
      <c r="A62" s="10" t="s">
        <v>67</v>
      </c>
      <c r="B62" s="10">
        <v>400</v>
      </c>
      <c r="C62" s="10">
        <v>1</v>
      </c>
      <c r="D62" s="6"/>
      <c r="E62" s="6"/>
      <c r="F62" s="6"/>
      <c r="G62" s="6"/>
      <c r="H62" s="6"/>
      <c r="I62" s="6"/>
      <c r="J62" s="6"/>
      <c r="K62" s="7" t="str">
        <f t="shared" si="4"/>
        <v/>
      </c>
      <c r="L62" s="8" t="str">
        <f>IF('1 - Mix Reference'!I12="","",'1 - Mix Reference'!I12)</f>
        <v/>
      </c>
      <c r="M62" s="9" t="str">
        <f t="shared" si="5"/>
        <v/>
      </c>
      <c r="N62" s="9" t="str">
        <f t="shared" si="6"/>
        <v/>
      </c>
      <c r="O62" s="9" t="str">
        <f t="shared" si="7"/>
        <v/>
      </c>
      <c r="P62" s="6"/>
    </row>
    <row r="63" spans="1:16" x14ac:dyDescent="0.3">
      <c r="A63" s="5" t="s">
        <v>67</v>
      </c>
      <c r="B63" s="5">
        <v>400</v>
      </c>
      <c r="C63" s="5">
        <v>2</v>
      </c>
      <c r="D63" s="6"/>
      <c r="E63" s="6"/>
      <c r="F63" s="6"/>
      <c r="G63" s="6"/>
      <c r="H63" s="6"/>
      <c r="I63" s="6"/>
      <c r="J63" s="6"/>
      <c r="K63" s="7" t="str">
        <f t="shared" si="4"/>
        <v/>
      </c>
      <c r="L63" s="8" t="str">
        <f>IF('1 - Mix Reference'!I12="","",'1 - Mix Reference'!I12)</f>
        <v/>
      </c>
      <c r="M63" s="9" t="str">
        <f t="shared" si="5"/>
        <v/>
      </c>
      <c r="N63" s="9" t="str">
        <f t="shared" si="6"/>
        <v/>
      </c>
      <c r="O63" s="9" t="str">
        <f t="shared" si="7"/>
        <v/>
      </c>
      <c r="P63" s="6"/>
    </row>
    <row r="64" spans="1:16" x14ac:dyDescent="0.3">
      <c r="A64" s="5" t="s">
        <v>67</v>
      </c>
      <c r="B64" s="5">
        <v>400</v>
      </c>
      <c r="C64" s="5">
        <v>3</v>
      </c>
      <c r="D64" s="6"/>
      <c r="E64" s="6"/>
      <c r="F64" s="6"/>
      <c r="G64" s="6"/>
      <c r="H64" s="6"/>
      <c r="I64" s="6"/>
      <c r="J64" s="6"/>
      <c r="K64" s="7" t="str">
        <f t="shared" si="4"/>
        <v/>
      </c>
      <c r="L64" s="8" t="str">
        <f>IF('1 - Mix Reference'!I12="","",'1 - Mix Reference'!I12)</f>
        <v/>
      </c>
      <c r="M64" s="9" t="str">
        <f t="shared" si="5"/>
        <v/>
      </c>
      <c r="N64" s="9" t="str">
        <f t="shared" si="6"/>
        <v/>
      </c>
      <c r="O64" s="9" t="str">
        <f t="shared" si="7"/>
        <v/>
      </c>
      <c r="P64" s="6"/>
    </row>
    <row r="65" spans="1:16" x14ac:dyDescent="0.3">
      <c r="A65" s="5" t="s">
        <v>69</v>
      </c>
      <c r="B65" s="5">
        <v>400</v>
      </c>
      <c r="C65" s="5">
        <v>1</v>
      </c>
      <c r="D65" s="6"/>
      <c r="E65" s="6"/>
      <c r="F65" s="6"/>
      <c r="G65" s="6"/>
      <c r="H65" s="6"/>
      <c r="I65" s="6"/>
      <c r="J65" s="6"/>
      <c r="K65" s="7" t="str">
        <f t="shared" si="4"/>
        <v/>
      </c>
      <c r="L65" s="8" t="str">
        <f>IF('1 - Mix Reference'!I13="","",'1 - Mix Reference'!I13)</f>
        <v/>
      </c>
      <c r="M65" s="9" t="str">
        <f t="shared" si="5"/>
        <v/>
      </c>
      <c r="N65" s="9" t="str">
        <f t="shared" si="6"/>
        <v/>
      </c>
      <c r="O65" s="9" t="str">
        <f t="shared" si="7"/>
        <v/>
      </c>
      <c r="P65" s="6"/>
    </row>
    <row r="66" spans="1:16" x14ac:dyDescent="0.3">
      <c r="A66" s="10" t="s">
        <v>69</v>
      </c>
      <c r="B66" s="10">
        <v>400</v>
      </c>
      <c r="C66" s="10">
        <v>2</v>
      </c>
      <c r="D66" s="6"/>
      <c r="E66" s="6"/>
      <c r="F66" s="6"/>
      <c r="G66" s="6"/>
      <c r="H66" s="6"/>
      <c r="I66" s="6"/>
      <c r="J66" s="6"/>
      <c r="K66" s="7" t="str">
        <f t="shared" si="4"/>
        <v/>
      </c>
      <c r="L66" s="8" t="str">
        <f>IF('1 - Mix Reference'!I13="","",'1 - Mix Reference'!I13)</f>
        <v/>
      </c>
      <c r="M66" s="9" t="str">
        <f t="shared" si="5"/>
        <v/>
      </c>
      <c r="N66" s="9" t="str">
        <f t="shared" si="6"/>
        <v/>
      </c>
      <c r="O66" s="9" t="str">
        <f t="shared" si="7"/>
        <v/>
      </c>
      <c r="P66" s="6"/>
    </row>
    <row r="67" spans="1:16" x14ac:dyDescent="0.3">
      <c r="A67" s="10" t="s">
        <v>69</v>
      </c>
      <c r="B67" s="10">
        <v>400</v>
      </c>
      <c r="C67" s="10">
        <v>3</v>
      </c>
      <c r="D67" s="6"/>
      <c r="E67" s="6"/>
      <c r="F67" s="6"/>
      <c r="G67" s="6"/>
      <c r="H67" s="6"/>
      <c r="I67" s="6"/>
      <c r="J67" s="6"/>
      <c r="K67" s="7" t="str">
        <f t="shared" si="4"/>
        <v/>
      </c>
      <c r="L67" s="8" t="str">
        <f>IF('1 - Mix Reference'!I13="","",'1 - Mix Reference'!I13)</f>
        <v/>
      </c>
      <c r="M67" s="9" t="str">
        <f t="shared" si="5"/>
        <v/>
      </c>
      <c r="N67" s="9" t="str">
        <f t="shared" si="6"/>
        <v/>
      </c>
      <c r="O67" s="9" t="str">
        <f t="shared" si="7"/>
        <v/>
      </c>
      <c r="P67" s="6"/>
    </row>
    <row r="68" spans="1:16" x14ac:dyDescent="0.3">
      <c r="A68" s="10" t="s">
        <v>70</v>
      </c>
      <c r="B68" s="10">
        <v>400</v>
      </c>
      <c r="C68" s="10">
        <v>1</v>
      </c>
      <c r="D68" s="6"/>
      <c r="E68" s="6"/>
      <c r="F68" s="6"/>
      <c r="G68" s="6"/>
      <c r="H68" s="6"/>
      <c r="I68" s="6"/>
      <c r="J68" s="6"/>
      <c r="K68" s="7" t="str">
        <f t="shared" si="4"/>
        <v/>
      </c>
      <c r="L68" s="8" t="str">
        <f>IF('1 - Mix Reference'!I14="","",'1 - Mix Reference'!I14)</f>
        <v/>
      </c>
      <c r="M68" s="9" t="str">
        <f t="shared" si="5"/>
        <v/>
      </c>
      <c r="N68" s="9" t="str">
        <f t="shared" si="6"/>
        <v/>
      </c>
      <c r="O68" s="9" t="str">
        <f t="shared" si="7"/>
        <v/>
      </c>
      <c r="P68" s="6"/>
    </row>
    <row r="69" spans="1:16" x14ac:dyDescent="0.3">
      <c r="A69" s="5" t="s">
        <v>70</v>
      </c>
      <c r="B69" s="5">
        <v>400</v>
      </c>
      <c r="C69" s="5">
        <v>2</v>
      </c>
      <c r="D69" s="6"/>
      <c r="E69" s="6"/>
      <c r="F69" s="6"/>
      <c r="G69" s="6"/>
      <c r="H69" s="6"/>
      <c r="I69" s="6"/>
      <c r="J69" s="6"/>
      <c r="K69" s="7" t="str">
        <f t="shared" ref="K69:K100" si="8">IF(J69="","",J69*1000)</f>
        <v/>
      </c>
      <c r="L69" s="8" t="str">
        <f>IF('1 - Mix Reference'!I14="","",'1 - Mix Reference'!I14)</f>
        <v/>
      </c>
      <c r="M69" s="9" t="str">
        <f t="shared" ref="M69:M100" si="9">IF(OR(D69="",F69=""),"",((D69-F69)/D69)*100)</f>
        <v/>
      </c>
      <c r="N69" s="9" t="str">
        <f t="shared" ref="N69:N100" si="10">IF(K69="","",K69/10000)</f>
        <v/>
      </c>
      <c r="O69" s="9" t="str">
        <f t="shared" ref="O69:O100" si="11">IF(OR(N69="",L69="",L69=0),"",(N69/L69)*100)</f>
        <v/>
      </c>
      <c r="P69" s="6"/>
    </row>
    <row r="70" spans="1:16" x14ac:dyDescent="0.3">
      <c r="A70" s="5" t="s">
        <v>70</v>
      </c>
      <c r="B70" s="5">
        <v>400</v>
      </c>
      <c r="C70" s="5">
        <v>3</v>
      </c>
      <c r="D70" s="6"/>
      <c r="E70" s="6"/>
      <c r="F70" s="6"/>
      <c r="G70" s="6"/>
      <c r="H70" s="6"/>
      <c r="I70" s="6"/>
      <c r="J70" s="6"/>
      <c r="K70" s="7" t="str">
        <f t="shared" si="8"/>
        <v/>
      </c>
      <c r="L70" s="8" t="str">
        <f>IF('1 - Mix Reference'!I14="","",'1 - Mix Reference'!I14)</f>
        <v/>
      </c>
      <c r="M70" s="9" t="str">
        <f t="shared" si="9"/>
        <v/>
      </c>
      <c r="N70" s="9" t="str">
        <f t="shared" si="10"/>
        <v/>
      </c>
      <c r="O70" s="9" t="str">
        <f t="shared" si="11"/>
        <v/>
      </c>
      <c r="P70" s="6"/>
    </row>
    <row r="71" spans="1:16" x14ac:dyDescent="0.3">
      <c r="A71" s="5" t="s">
        <v>73</v>
      </c>
      <c r="B71" s="5">
        <v>400</v>
      </c>
      <c r="C71" s="5">
        <v>1</v>
      </c>
      <c r="D71" s="6"/>
      <c r="E71" s="6"/>
      <c r="F71" s="6"/>
      <c r="G71" s="6"/>
      <c r="H71" s="6"/>
      <c r="I71" s="6"/>
      <c r="J71" s="6"/>
      <c r="K71" s="7" t="str">
        <f t="shared" si="8"/>
        <v/>
      </c>
      <c r="L71" s="8" t="str">
        <f>IF('1 - Mix Reference'!I15="","",'1 - Mix Reference'!I15)</f>
        <v/>
      </c>
      <c r="M71" s="9" t="str">
        <f t="shared" si="9"/>
        <v/>
      </c>
      <c r="N71" s="9" t="str">
        <f t="shared" si="10"/>
        <v/>
      </c>
      <c r="O71" s="9" t="str">
        <f t="shared" si="11"/>
        <v/>
      </c>
      <c r="P71" s="6"/>
    </row>
    <row r="72" spans="1:16" x14ac:dyDescent="0.3">
      <c r="A72" s="10" t="s">
        <v>73</v>
      </c>
      <c r="B72" s="10">
        <v>400</v>
      </c>
      <c r="C72" s="10">
        <v>2</v>
      </c>
      <c r="D72" s="6"/>
      <c r="E72" s="6"/>
      <c r="F72" s="6"/>
      <c r="G72" s="6"/>
      <c r="H72" s="6"/>
      <c r="I72" s="6"/>
      <c r="J72" s="6"/>
      <c r="K72" s="7" t="str">
        <f t="shared" si="8"/>
        <v/>
      </c>
      <c r="L72" s="8" t="str">
        <f>IF('1 - Mix Reference'!I15="","",'1 - Mix Reference'!I15)</f>
        <v/>
      </c>
      <c r="M72" s="9" t="str">
        <f t="shared" si="9"/>
        <v/>
      </c>
      <c r="N72" s="9" t="str">
        <f t="shared" si="10"/>
        <v/>
      </c>
      <c r="O72" s="9" t="str">
        <f t="shared" si="11"/>
        <v/>
      </c>
      <c r="P72" s="6"/>
    </row>
    <row r="73" spans="1:16" x14ac:dyDescent="0.3">
      <c r="A73" s="10" t="s">
        <v>73</v>
      </c>
      <c r="B73" s="10">
        <v>400</v>
      </c>
      <c r="C73" s="10">
        <v>3</v>
      </c>
      <c r="D73" s="6"/>
      <c r="E73" s="6"/>
      <c r="F73" s="6"/>
      <c r="G73" s="6"/>
      <c r="H73" s="6"/>
      <c r="I73" s="6"/>
      <c r="J73" s="6"/>
      <c r="K73" s="7" t="str">
        <f t="shared" si="8"/>
        <v/>
      </c>
      <c r="L73" s="8" t="str">
        <f>IF('1 - Mix Reference'!I15="","",'1 - Mix Reference'!I15)</f>
        <v/>
      </c>
      <c r="M73" s="9" t="str">
        <f t="shared" si="9"/>
        <v/>
      </c>
      <c r="N73" s="9" t="str">
        <f t="shared" si="10"/>
        <v/>
      </c>
      <c r="O73" s="9" t="str">
        <f t="shared" si="11"/>
        <v/>
      </c>
      <c r="P73" s="6"/>
    </row>
    <row r="74" spans="1:16" x14ac:dyDescent="0.3">
      <c r="A74" s="10" t="s">
        <v>74</v>
      </c>
      <c r="B74" s="10">
        <v>400</v>
      </c>
      <c r="C74" s="10">
        <v>1</v>
      </c>
      <c r="D74" s="6"/>
      <c r="E74" s="6"/>
      <c r="F74" s="6"/>
      <c r="G74" s="6"/>
      <c r="H74" s="6"/>
      <c r="I74" s="6"/>
      <c r="J74" s="6"/>
      <c r="K74" s="7" t="str">
        <f t="shared" si="8"/>
        <v/>
      </c>
      <c r="L74" s="8" t="str">
        <f>IF('1 - Mix Reference'!I16="","",'1 - Mix Reference'!I16)</f>
        <v/>
      </c>
      <c r="M74" s="9" t="str">
        <f t="shared" si="9"/>
        <v/>
      </c>
      <c r="N74" s="9" t="str">
        <f t="shared" si="10"/>
        <v/>
      </c>
      <c r="O74" s="9" t="str">
        <f t="shared" si="11"/>
        <v/>
      </c>
      <c r="P74" s="6"/>
    </row>
    <row r="75" spans="1:16" x14ac:dyDescent="0.3">
      <c r="A75" s="5" t="s">
        <v>74</v>
      </c>
      <c r="B75" s="5">
        <v>400</v>
      </c>
      <c r="C75" s="5">
        <v>2</v>
      </c>
      <c r="D75" s="6"/>
      <c r="E75" s="6"/>
      <c r="F75" s="6"/>
      <c r="G75" s="6"/>
      <c r="H75" s="6"/>
      <c r="I75" s="6"/>
      <c r="J75" s="6"/>
      <c r="K75" s="7" t="str">
        <f t="shared" si="8"/>
        <v/>
      </c>
      <c r="L75" s="8" t="str">
        <f>IF('1 - Mix Reference'!I16="","",'1 - Mix Reference'!I16)</f>
        <v/>
      </c>
      <c r="M75" s="9" t="str">
        <f t="shared" si="9"/>
        <v/>
      </c>
      <c r="N75" s="9" t="str">
        <f t="shared" si="10"/>
        <v/>
      </c>
      <c r="O75" s="9" t="str">
        <f t="shared" si="11"/>
        <v/>
      </c>
      <c r="P75" s="6"/>
    </row>
    <row r="76" spans="1:16" x14ac:dyDescent="0.3">
      <c r="A76" s="5" t="s">
        <v>74</v>
      </c>
      <c r="B76" s="5">
        <v>400</v>
      </c>
      <c r="C76" s="5">
        <v>3</v>
      </c>
      <c r="D76" s="6"/>
      <c r="E76" s="6"/>
      <c r="F76" s="6"/>
      <c r="G76" s="6"/>
      <c r="H76" s="6"/>
      <c r="I76" s="6"/>
      <c r="J76" s="6"/>
      <c r="K76" s="7" t="str">
        <f t="shared" si="8"/>
        <v/>
      </c>
      <c r="L76" s="8" t="str">
        <f>IF('1 - Mix Reference'!I16="","",'1 - Mix Reference'!I16)</f>
        <v/>
      </c>
      <c r="M76" s="9" t="str">
        <f t="shared" si="9"/>
        <v/>
      </c>
      <c r="N76" s="9" t="str">
        <f t="shared" si="10"/>
        <v/>
      </c>
      <c r="O76" s="9" t="str">
        <f t="shared" si="11"/>
        <v/>
      </c>
      <c r="P76" s="6"/>
    </row>
    <row r="77" spans="1:16" x14ac:dyDescent="0.3">
      <c r="A77" s="5" t="s">
        <v>48</v>
      </c>
      <c r="B77" s="5">
        <v>600</v>
      </c>
      <c r="C77" s="5">
        <v>1</v>
      </c>
      <c r="D77" s="6"/>
      <c r="E77" s="6"/>
      <c r="F77" s="6"/>
      <c r="G77" s="6"/>
      <c r="H77" s="6"/>
      <c r="I77" s="6"/>
      <c r="J77" s="6"/>
      <c r="K77" s="7" t="str">
        <f t="shared" si="8"/>
        <v/>
      </c>
      <c r="L77" s="8" t="str">
        <f>IF('1 - Mix Reference'!I5="","",'1 - Mix Reference'!I5)</f>
        <v/>
      </c>
      <c r="M77" s="9" t="str">
        <f t="shared" si="9"/>
        <v/>
      </c>
      <c r="N77" s="9" t="str">
        <f t="shared" si="10"/>
        <v/>
      </c>
      <c r="O77" s="9" t="str">
        <f t="shared" si="11"/>
        <v/>
      </c>
      <c r="P77" s="6"/>
    </row>
    <row r="78" spans="1:16" x14ac:dyDescent="0.3">
      <c r="A78" s="10" t="s">
        <v>48</v>
      </c>
      <c r="B78" s="10">
        <v>600</v>
      </c>
      <c r="C78" s="10">
        <v>2</v>
      </c>
      <c r="D78" s="6"/>
      <c r="E78" s="6"/>
      <c r="F78" s="6"/>
      <c r="G78" s="6"/>
      <c r="H78" s="6"/>
      <c r="I78" s="6"/>
      <c r="J78" s="6"/>
      <c r="K78" s="7" t="str">
        <f t="shared" si="8"/>
        <v/>
      </c>
      <c r="L78" s="8" t="str">
        <f>IF('1 - Mix Reference'!I5="","",'1 - Mix Reference'!I5)</f>
        <v/>
      </c>
      <c r="M78" s="9" t="str">
        <f t="shared" si="9"/>
        <v/>
      </c>
      <c r="N78" s="9" t="str">
        <f t="shared" si="10"/>
        <v/>
      </c>
      <c r="O78" s="9" t="str">
        <f t="shared" si="11"/>
        <v/>
      </c>
      <c r="P78" s="6"/>
    </row>
    <row r="79" spans="1:16" x14ac:dyDescent="0.3">
      <c r="A79" s="10" t="s">
        <v>48</v>
      </c>
      <c r="B79" s="10">
        <v>600</v>
      </c>
      <c r="C79" s="10">
        <v>3</v>
      </c>
      <c r="D79" s="6"/>
      <c r="E79" s="6"/>
      <c r="F79" s="6"/>
      <c r="G79" s="6"/>
      <c r="H79" s="6"/>
      <c r="I79" s="6"/>
      <c r="J79" s="6"/>
      <c r="K79" s="7" t="str">
        <f t="shared" si="8"/>
        <v/>
      </c>
      <c r="L79" s="8" t="str">
        <f>IF('1 - Mix Reference'!I5="","",'1 - Mix Reference'!I5)</f>
        <v/>
      </c>
      <c r="M79" s="9" t="str">
        <f t="shared" si="9"/>
        <v/>
      </c>
      <c r="N79" s="9" t="str">
        <f t="shared" si="10"/>
        <v/>
      </c>
      <c r="O79" s="9" t="str">
        <f t="shared" si="11"/>
        <v/>
      </c>
      <c r="P79" s="6"/>
    </row>
    <row r="80" spans="1:16" x14ac:dyDescent="0.3">
      <c r="A80" s="10" t="s">
        <v>52</v>
      </c>
      <c r="B80" s="10">
        <v>600</v>
      </c>
      <c r="C80" s="10">
        <v>1</v>
      </c>
      <c r="D80" s="6"/>
      <c r="E80" s="6"/>
      <c r="F80" s="6"/>
      <c r="G80" s="6"/>
      <c r="H80" s="6"/>
      <c r="I80" s="6"/>
      <c r="J80" s="6"/>
      <c r="K80" s="7" t="str">
        <f t="shared" si="8"/>
        <v/>
      </c>
      <c r="L80" s="8" t="str">
        <f>IF('1 - Mix Reference'!I6="","",'1 - Mix Reference'!I6)</f>
        <v/>
      </c>
      <c r="M80" s="9" t="str">
        <f t="shared" si="9"/>
        <v/>
      </c>
      <c r="N80" s="9" t="str">
        <f t="shared" si="10"/>
        <v/>
      </c>
      <c r="O80" s="9" t="str">
        <f t="shared" si="11"/>
        <v/>
      </c>
      <c r="P80" s="6"/>
    </row>
    <row r="81" spans="1:16" x14ac:dyDescent="0.3">
      <c r="A81" s="5" t="s">
        <v>52</v>
      </c>
      <c r="B81" s="5">
        <v>600</v>
      </c>
      <c r="C81" s="5">
        <v>2</v>
      </c>
      <c r="D81" s="6"/>
      <c r="E81" s="6"/>
      <c r="F81" s="6"/>
      <c r="G81" s="6"/>
      <c r="H81" s="6"/>
      <c r="I81" s="6"/>
      <c r="J81" s="6"/>
      <c r="K81" s="7" t="str">
        <f t="shared" si="8"/>
        <v/>
      </c>
      <c r="L81" s="8" t="str">
        <f>IF('1 - Mix Reference'!I6="","",'1 - Mix Reference'!I6)</f>
        <v/>
      </c>
      <c r="M81" s="9" t="str">
        <f t="shared" si="9"/>
        <v/>
      </c>
      <c r="N81" s="9" t="str">
        <f t="shared" si="10"/>
        <v/>
      </c>
      <c r="O81" s="9" t="str">
        <f t="shared" si="11"/>
        <v/>
      </c>
      <c r="P81" s="6"/>
    </row>
    <row r="82" spans="1:16" x14ac:dyDescent="0.3">
      <c r="A82" s="5" t="s">
        <v>52</v>
      </c>
      <c r="B82" s="5">
        <v>600</v>
      </c>
      <c r="C82" s="5">
        <v>3</v>
      </c>
      <c r="D82" s="6"/>
      <c r="E82" s="6"/>
      <c r="F82" s="6"/>
      <c r="G82" s="6"/>
      <c r="H82" s="6"/>
      <c r="I82" s="6"/>
      <c r="J82" s="6"/>
      <c r="K82" s="7" t="str">
        <f t="shared" si="8"/>
        <v/>
      </c>
      <c r="L82" s="8" t="str">
        <f>IF('1 - Mix Reference'!I6="","",'1 - Mix Reference'!I6)</f>
        <v/>
      </c>
      <c r="M82" s="9" t="str">
        <f t="shared" si="9"/>
        <v/>
      </c>
      <c r="N82" s="9" t="str">
        <f t="shared" si="10"/>
        <v/>
      </c>
      <c r="O82" s="9" t="str">
        <f t="shared" si="11"/>
        <v/>
      </c>
      <c r="P82" s="6"/>
    </row>
    <row r="83" spans="1:16" x14ac:dyDescent="0.3">
      <c r="A83" s="5" t="s">
        <v>55</v>
      </c>
      <c r="B83" s="5">
        <v>600</v>
      </c>
      <c r="C83" s="5">
        <v>1</v>
      </c>
      <c r="D83" s="6"/>
      <c r="E83" s="6"/>
      <c r="F83" s="6"/>
      <c r="G83" s="6"/>
      <c r="H83" s="6"/>
      <c r="I83" s="6"/>
      <c r="J83" s="6"/>
      <c r="K83" s="7" t="str">
        <f t="shared" si="8"/>
        <v/>
      </c>
      <c r="L83" s="8" t="str">
        <f>IF('1 - Mix Reference'!I7="","",'1 - Mix Reference'!I7)</f>
        <v/>
      </c>
      <c r="M83" s="9" t="str">
        <f t="shared" si="9"/>
        <v/>
      </c>
      <c r="N83" s="9" t="str">
        <f t="shared" si="10"/>
        <v/>
      </c>
      <c r="O83" s="9" t="str">
        <f t="shared" si="11"/>
        <v/>
      </c>
      <c r="P83" s="6"/>
    </row>
    <row r="84" spans="1:16" x14ac:dyDescent="0.3">
      <c r="A84" s="10" t="s">
        <v>55</v>
      </c>
      <c r="B84" s="10">
        <v>600</v>
      </c>
      <c r="C84" s="10">
        <v>2</v>
      </c>
      <c r="D84" s="6"/>
      <c r="E84" s="6"/>
      <c r="F84" s="6"/>
      <c r="G84" s="6"/>
      <c r="H84" s="6"/>
      <c r="I84" s="6"/>
      <c r="J84" s="6"/>
      <c r="K84" s="7" t="str">
        <f t="shared" si="8"/>
        <v/>
      </c>
      <c r="L84" s="8" t="str">
        <f>IF('1 - Mix Reference'!I7="","",'1 - Mix Reference'!I7)</f>
        <v/>
      </c>
      <c r="M84" s="9" t="str">
        <f t="shared" si="9"/>
        <v/>
      </c>
      <c r="N84" s="9" t="str">
        <f t="shared" si="10"/>
        <v/>
      </c>
      <c r="O84" s="9" t="str">
        <f t="shared" si="11"/>
        <v/>
      </c>
      <c r="P84" s="6"/>
    </row>
    <row r="85" spans="1:16" x14ac:dyDescent="0.3">
      <c r="A85" s="10" t="s">
        <v>55</v>
      </c>
      <c r="B85" s="10">
        <v>600</v>
      </c>
      <c r="C85" s="10">
        <v>3</v>
      </c>
      <c r="D85" s="6"/>
      <c r="E85" s="6"/>
      <c r="F85" s="6"/>
      <c r="G85" s="6"/>
      <c r="H85" s="6"/>
      <c r="I85" s="6"/>
      <c r="J85" s="6"/>
      <c r="K85" s="7" t="str">
        <f t="shared" si="8"/>
        <v/>
      </c>
      <c r="L85" s="8" t="str">
        <f>IF('1 - Mix Reference'!I7="","",'1 - Mix Reference'!I7)</f>
        <v/>
      </c>
      <c r="M85" s="9" t="str">
        <f t="shared" si="9"/>
        <v/>
      </c>
      <c r="N85" s="9" t="str">
        <f t="shared" si="10"/>
        <v/>
      </c>
      <c r="O85" s="9" t="str">
        <f t="shared" si="11"/>
        <v/>
      </c>
      <c r="P85" s="6"/>
    </row>
    <row r="86" spans="1:16" x14ac:dyDescent="0.3">
      <c r="A86" s="10" t="s">
        <v>57</v>
      </c>
      <c r="B86" s="10">
        <v>600</v>
      </c>
      <c r="C86" s="10">
        <v>1</v>
      </c>
      <c r="D86" s="6"/>
      <c r="E86" s="6"/>
      <c r="F86" s="6"/>
      <c r="G86" s="6"/>
      <c r="H86" s="6"/>
      <c r="I86" s="6"/>
      <c r="J86" s="6"/>
      <c r="K86" s="7" t="str">
        <f t="shared" si="8"/>
        <v/>
      </c>
      <c r="L86" s="8" t="str">
        <f>IF('1 - Mix Reference'!I8="","",'1 - Mix Reference'!I8)</f>
        <v/>
      </c>
      <c r="M86" s="9" t="str">
        <f t="shared" si="9"/>
        <v/>
      </c>
      <c r="N86" s="9" t="str">
        <f t="shared" si="10"/>
        <v/>
      </c>
      <c r="O86" s="9" t="str">
        <f t="shared" si="11"/>
        <v/>
      </c>
      <c r="P86" s="6"/>
    </row>
    <row r="87" spans="1:16" x14ac:dyDescent="0.3">
      <c r="A87" s="5" t="s">
        <v>57</v>
      </c>
      <c r="B87" s="5">
        <v>600</v>
      </c>
      <c r="C87" s="5">
        <v>2</v>
      </c>
      <c r="D87" s="6"/>
      <c r="E87" s="6"/>
      <c r="F87" s="6"/>
      <c r="G87" s="6"/>
      <c r="H87" s="6"/>
      <c r="I87" s="6"/>
      <c r="J87" s="6"/>
      <c r="K87" s="7" t="str">
        <f t="shared" si="8"/>
        <v/>
      </c>
      <c r="L87" s="8" t="str">
        <f>IF('1 - Mix Reference'!I8="","",'1 - Mix Reference'!I8)</f>
        <v/>
      </c>
      <c r="M87" s="9" t="str">
        <f t="shared" si="9"/>
        <v/>
      </c>
      <c r="N87" s="9" t="str">
        <f t="shared" si="10"/>
        <v/>
      </c>
      <c r="O87" s="9" t="str">
        <f t="shared" si="11"/>
        <v/>
      </c>
      <c r="P87" s="6"/>
    </row>
    <row r="88" spans="1:16" x14ac:dyDescent="0.3">
      <c r="A88" s="5" t="s">
        <v>57</v>
      </c>
      <c r="B88" s="5">
        <v>600</v>
      </c>
      <c r="C88" s="5">
        <v>3</v>
      </c>
      <c r="D88" s="6"/>
      <c r="E88" s="6"/>
      <c r="F88" s="6"/>
      <c r="G88" s="6"/>
      <c r="H88" s="6"/>
      <c r="I88" s="6"/>
      <c r="J88" s="6"/>
      <c r="K88" s="7" t="str">
        <f t="shared" si="8"/>
        <v/>
      </c>
      <c r="L88" s="8" t="str">
        <f>IF('1 - Mix Reference'!I8="","",'1 - Mix Reference'!I8)</f>
        <v/>
      </c>
      <c r="M88" s="9" t="str">
        <f t="shared" si="9"/>
        <v/>
      </c>
      <c r="N88" s="9" t="str">
        <f t="shared" si="10"/>
        <v/>
      </c>
      <c r="O88" s="9" t="str">
        <f t="shared" si="11"/>
        <v/>
      </c>
      <c r="P88" s="6"/>
    </row>
    <row r="89" spans="1:16" x14ac:dyDescent="0.3">
      <c r="A89" s="5" t="s">
        <v>59</v>
      </c>
      <c r="B89" s="5">
        <v>600</v>
      </c>
      <c r="C89" s="5">
        <v>1</v>
      </c>
      <c r="D89" s="6"/>
      <c r="E89" s="6"/>
      <c r="F89" s="6"/>
      <c r="G89" s="6"/>
      <c r="H89" s="6"/>
      <c r="I89" s="6"/>
      <c r="J89" s="6"/>
      <c r="K89" s="7" t="str">
        <f t="shared" si="8"/>
        <v/>
      </c>
      <c r="L89" s="8" t="str">
        <f>IF('1 - Mix Reference'!I9="","",'1 - Mix Reference'!I9)</f>
        <v/>
      </c>
      <c r="M89" s="9" t="str">
        <f t="shared" si="9"/>
        <v/>
      </c>
      <c r="N89" s="9" t="str">
        <f t="shared" si="10"/>
        <v/>
      </c>
      <c r="O89" s="9" t="str">
        <f t="shared" si="11"/>
        <v/>
      </c>
      <c r="P89" s="6"/>
    </row>
    <row r="90" spans="1:16" x14ac:dyDescent="0.3">
      <c r="A90" s="10" t="s">
        <v>59</v>
      </c>
      <c r="B90" s="10">
        <v>600</v>
      </c>
      <c r="C90" s="10">
        <v>2</v>
      </c>
      <c r="D90" s="6"/>
      <c r="E90" s="6"/>
      <c r="F90" s="6"/>
      <c r="G90" s="6"/>
      <c r="H90" s="6"/>
      <c r="I90" s="6"/>
      <c r="J90" s="6"/>
      <c r="K90" s="7" t="str">
        <f t="shared" si="8"/>
        <v/>
      </c>
      <c r="L90" s="8" t="str">
        <f>IF('1 - Mix Reference'!I9="","",'1 - Mix Reference'!I9)</f>
        <v/>
      </c>
      <c r="M90" s="9" t="str">
        <f t="shared" si="9"/>
        <v/>
      </c>
      <c r="N90" s="9" t="str">
        <f t="shared" si="10"/>
        <v/>
      </c>
      <c r="O90" s="9" t="str">
        <f t="shared" si="11"/>
        <v/>
      </c>
      <c r="P90" s="6"/>
    </row>
    <row r="91" spans="1:16" x14ac:dyDescent="0.3">
      <c r="A91" s="10" t="s">
        <v>59</v>
      </c>
      <c r="B91" s="10">
        <v>600</v>
      </c>
      <c r="C91" s="10">
        <v>3</v>
      </c>
      <c r="D91" s="6"/>
      <c r="E91" s="6"/>
      <c r="F91" s="6"/>
      <c r="G91" s="6"/>
      <c r="H91" s="6"/>
      <c r="I91" s="6"/>
      <c r="J91" s="6"/>
      <c r="K91" s="7" t="str">
        <f t="shared" si="8"/>
        <v/>
      </c>
      <c r="L91" s="8" t="str">
        <f>IF('1 - Mix Reference'!I9="","",'1 - Mix Reference'!I9)</f>
        <v/>
      </c>
      <c r="M91" s="9" t="str">
        <f t="shared" si="9"/>
        <v/>
      </c>
      <c r="N91" s="9" t="str">
        <f t="shared" si="10"/>
        <v/>
      </c>
      <c r="O91" s="9" t="str">
        <f t="shared" si="11"/>
        <v/>
      </c>
      <c r="P91" s="6"/>
    </row>
    <row r="92" spans="1:16" x14ac:dyDescent="0.3">
      <c r="A92" s="10" t="s">
        <v>61</v>
      </c>
      <c r="B92" s="10">
        <v>600</v>
      </c>
      <c r="C92" s="10">
        <v>1</v>
      </c>
      <c r="D92" s="6"/>
      <c r="E92" s="6"/>
      <c r="F92" s="6"/>
      <c r="G92" s="6"/>
      <c r="H92" s="6"/>
      <c r="I92" s="6"/>
      <c r="J92" s="6"/>
      <c r="K92" s="7" t="str">
        <f t="shared" si="8"/>
        <v/>
      </c>
      <c r="L92" s="8" t="str">
        <f>IF('1 - Mix Reference'!I10="","",'1 - Mix Reference'!I10)</f>
        <v/>
      </c>
      <c r="M92" s="9" t="str">
        <f t="shared" si="9"/>
        <v/>
      </c>
      <c r="N92" s="9" t="str">
        <f t="shared" si="10"/>
        <v/>
      </c>
      <c r="O92" s="9" t="str">
        <f t="shared" si="11"/>
        <v/>
      </c>
      <c r="P92" s="6"/>
    </row>
    <row r="93" spans="1:16" x14ac:dyDescent="0.3">
      <c r="A93" s="5" t="s">
        <v>61</v>
      </c>
      <c r="B93" s="5">
        <v>600</v>
      </c>
      <c r="C93" s="5">
        <v>2</v>
      </c>
      <c r="D93" s="6"/>
      <c r="E93" s="6"/>
      <c r="F93" s="6"/>
      <c r="G93" s="6"/>
      <c r="H93" s="6"/>
      <c r="I93" s="6"/>
      <c r="J93" s="6"/>
      <c r="K93" s="7" t="str">
        <f t="shared" si="8"/>
        <v/>
      </c>
      <c r="L93" s="8" t="str">
        <f>IF('1 - Mix Reference'!I10="","",'1 - Mix Reference'!I10)</f>
        <v/>
      </c>
      <c r="M93" s="9" t="str">
        <f t="shared" si="9"/>
        <v/>
      </c>
      <c r="N93" s="9" t="str">
        <f t="shared" si="10"/>
        <v/>
      </c>
      <c r="O93" s="9" t="str">
        <f t="shared" si="11"/>
        <v/>
      </c>
      <c r="P93" s="6"/>
    </row>
    <row r="94" spans="1:16" x14ac:dyDescent="0.3">
      <c r="A94" s="5" t="s">
        <v>61</v>
      </c>
      <c r="B94" s="5">
        <v>600</v>
      </c>
      <c r="C94" s="5">
        <v>3</v>
      </c>
      <c r="D94" s="6"/>
      <c r="E94" s="6"/>
      <c r="F94" s="6"/>
      <c r="G94" s="6"/>
      <c r="H94" s="6"/>
      <c r="I94" s="6"/>
      <c r="J94" s="6"/>
      <c r="K94" s="7" t="str">
        <f t="shared" si="8"/>
        <v/>
      </c>
      <c r="L94" s="8" t="str">
        <f>IF('1 - Mix Reference'!I10="","",'1 - Mix Reference'!I10)</f>
        <v/>
      </c>
      <c r="M94" s="9" t="str">
        <f t="shared" si="9"/>
        <v/>
      </c>
      <c r="N94" s="9" t="str">
        <f t="shared" si="10"/>
        <v/>
      </c>
      <c r="O94" s="9" t="str">
        <f t="shared" si="11"/>
        <v/>
      </c>
      <c r="P94" s="6"/>
    </row>
    <row r="95" spans="1:16" x14ac:dyDescent="0.3">
      <c r="A95" s="5" t="s">
        <v>63</v>
      </c>
      <c r="B95" s="5">
        <v>600</v>
      </c>
      <c r="C95" s="5">
        <v>1</v>
      </c>
      <c r="D95" s="6"/>
      <c r="E95" s="6"/>
      <c r="F95" s="6"/>
      <c r="G95" s="6"/>
      <c r="H95" s="6"/>
      <c r="I95" s="6"/>
      <c r="J95" s="6"/>
      <c r="K95" s="7" t="str">
        <f t="shared" si="8"/>
        <v/>
      </c>
      <c r="L95" s="8" t="str">
        <f>IF('1 - Mix Reference'!I11="","",'1 - Mix Reference'!I11)</f>
        <v/>
      </c>
      <c r="M95" s="9" t="str">
        <f t="shared" si="9"/>
        <v/>
      </c>
      <c r="N95" s="9" t="str">
        <f t="shared" si="10"/>
        <v/>
      </c>
      <c r="O95" s="9" t="str">
        <f t="shared" si="11"/>
        <v/>
      </c>
      <c r="P95" s="6"/>
    </row>
    <row r="96" spans="1:16" x14ac:dyDescent="0.3">
      <c r="A96" s="10" t="s">
        <v>63</v>
      </c>
      <c r="B96" s="10">
        <v>600</v>
      </c>
      <c r="C96" s="10">
        <v>2</v>
      </c>
      <c r="D96" s="6"/>
      <c r="E96" s="6"/>
      <c r="F96" s="6"/>
      <c r="G96" s="6"/>
      <c r="H96" s="6"/>
      <c r="I96" s="6"/>
      <c r="J96" s="6"/>
      <c r="K96" s="7" t="str">
        <f t="shared" si="8"/>
        <v/>
      </c>
      <c r="L96" s="8" t="str">
        <f>IF('1 - Mix Reference'!I11="","",'1 - Mix Reference'!I11)</f>
        <v/>
      </c>
      <c r="M96" s="9" t="str">
        <f t="shared" si="9"/>
        <v/>
      </c>
      <c r="N96" s="9" t="str">
        <f t="shared" si="10"/>
        <v/>
      </c>
      <c r="O96" s="9" t="str">
        <f t="shared" si="11"/>
        <v/>
      </c>
      <c r="P96" s="6"/>
    </row>
    <row r="97" spans="1:16" x14ac:dyDescent="0.3">
      <c r="A97" s="10" t="s">
        <v>63</v>
      </c>
      <c r="B97" s="10">
        <v>600</v>
      </c>
      <c r="C97" s="10">
        <v>3</v>
      </c>
      <c r="D97" s="6"/>
      <c r="E97" s="6"/>
      <c r="F97" s="6"/>
      <c r="G97" s="6"/>
      <c r="H97" s="6"/>
      <c r="I97" s="6"/>
      <c r="J97" s="6"/>
      <c r="K97" s="7" t="str">
        <f t="shared" si="8"/>
        <v/>
      </c>
      <c r="L97" s="8" t="str">
        <f>IF('1 - Mix Reference'!I11="","",'1 - Mix Reference'!I11)</f>
        <v/>
      </c>
      <c r="M97" s="9" t="str">
        <f t="shared" si="9"/>
        <v/>
      </c>
      <c r="N97" s="9" t="str">
        <f t="shared" si="10"/>
        <v/>
      </c>
      <c r="O97" s="9" t="str">
        <f t="shared" si="11"/>
        <v/>
      </c>
      <c r="P97" s="6"/>
    </row>
    <row r="98" spans="1:16" x14ac:dyDescent="0.3">
      <c r="A98" s="10" t="s">
        <v>67</v>
      </c>
      <c r="B98" s="10">
        <v>600</v>
      </c>
      <c r="C98" s="10">
        <v>1</v>
      </c>
      <c r="D98" s="6"/>
      <c r="E98" s="6"/>
      <c r="F98" s="6"/>
      <c r="G98" s="6"/>
      <c r="H98" s="6"/>
      <c r="I98" s="6"/>
      <c r="J98" s="6"/>
      <c r="K98" s="7" t="str">
        <f t="shared" si="8"/>
        <v/>
      </c>
      <c r="L98" s="8" t="str">
        <f>IF('1 - Mix Reference'!I12="","",'1 - Mix Reference'!I12)</f>
        <v/>
      </c>
      <c r="M98" s="9" t="str">
        <f t="shared" si="9"/>
        <v/>
      </c>
      <c r="N98" s="9" t="str">
        <f t="shared" si="10"/>
        <v/>
      </c>
      <c r="O98" s="9" t="str">
        <f t="shared" si="11"/>
        <v/>
      </c>
      <c r="P98" s="6"/>
    </row>
    <row r="99" spans="1:16" x14ac:dyDescent="0.3">
      <c r="A99" s="5" t="s">
        <v>67</v>
      </c>
      <c r="B99" s="5">
        <v>600</v>
      </c>
      <c r="C99" s="5">
        <v>2</v>
      </c>
      <c r="D99" s="6"/>
      <c r="E99" s="6"/>
      <c r="F99" s="6"/>
      <c r="G99" s="6"/>
      <c r="H99" s="6"/>
      <c r="I99" s="6"/>
      <c r="J99" s="6"/>
      <c r="K99" s="7" t="str">
        <f t="shared" si="8"/>
        <v/>
      </c>
      <c r="L99" s="8" t="str">
        <f>IF('1 - Mix Reference'!I12="","",'1 - Mix Reference'!I12)</f>
        <v/>
      </c>
      <c r="M99" s="9" t="str">
        <f t="shared" si="9"/>
        <v/>
      </c>
      <c r="N99" s="9" t="str">
        <f t="shared" si="10"/>
        <v/>
      </c>
      <c r="O99" s="9" t="str">
        <f t="shared" si="11"/>
        <v/>
      </c>
      <c r="P99" s="6"/>
    </row>
    <row r="100" spans="1:16" x14ac:dyDescent="0.3">
      <c r="A100" s="5" t="s">
        <v>67</v>
      </c>
      <c r="B100" s="5">
        <v>600</v>
      </c>
      <c r="C100" s="5">
        <v>3</v>
      </c>
      <c r="D100" s="6"/>
      <c r="E100" s="6"/>
      <c r="F100" s="6"/>
      <c r="G100" s="6"/>
      <c r="H100" s="6"/>
      <c r="I100" s="6"/>
      <c r="J100" s="6"/>
      <c r="K100" s="7" t="str">
        <f t="shared" si="8"/>
        <v/>
      </c>
      <c r="L100" s="8" t="str">
        <f>IF('1 - Mix Reference'!I12="","",'1 - Mix Reference'!I12)</f>
        <v/>
      </c>
      <c r="M100" s="9" t="str">
        <f t="shared" si="9"/>
        <v/>
      </c>
      <c r="N100" s="9" t="str">
        <f t="shared" si="10"/>
        <v/>
      </c>
      <c r="O100" s="9" t="str">
        <f t="shared" si="11"/>
        <v/>
      </c>
      <c r="P100" s="6"/>
    </row>
    <row r="101" spans="1:16" x14ac:dyDescent="0.3">
      <c r="A101" s="5" t="s">
        <v>69</v>
      </c>
      <c r="B101" s="5">
        <v>600</v>
      </c>
      <c r="C101" s="5">
        <v>1</v>
      </c>
      <c r="D101" s="6"/>
      <c r="E101" s="6"/>
      <c r="F101" s="6"/>
      <c r="G101" s="6"/>
      <c r="H101" s="6"/>
      <c r="I101" s="6"/>
      <c r="J101" s="6"/>
      <c r="K101" s="7" t="str">
        <f t="shared" ref="K101:K132" si="12">IF(J101="","",J101*1000)</f>
        <v/>
      </c>
      <c r="L101" s="8" t="str">
        <f>IF('1 - Mix Reference'!I13="","",'1 - Mix Reference'!I13)</f>
        <v/>
      </c>
      <c r="M101" s="9" t="str">
        <f t="shared" ref="M101:M132" si="13">IF(OR(D101="",F101=""),"",((D101-F101)/D101)*100)</f>
        <v/>
      </c>
      <c r="N101" s="9" t="str">
        <f t="shared" ref="N101:N132" si="14">IF(K101="","",K101/10000)</f>
        <v/>
      </c>
      <c r="O101" s="9" t="str">
        <f t="shared" ref="O101:O132" si="15">IF(OR(N101="",L101="",L101=0),"",(N101/L101)*100)</f>
        <v/>
      </c>
      <c r="P101" s="6"/>
    </row>
    <row r="102" spans="1:16" x14ac:dyDescent="0.3">
      <c r="A102" s="10" t="s">
        <v>69</v>
      </c>
      <c r="B102" s="10">
        <v>600</v>
      </c>
      <c r="C102" s="10">
        <v>2</v>
      </c>
      <c r="D102" s="6"/>
      <c r="E102" s="6"/>
      <c r="F102" s="6"/>
      <c r="G102" s="6"/>
      <c r="H102" s="6"/>
      <c r="I102" s="6"/>
      <c r="J102" s="6"/>
      <c r="K102" s="7" t="str">
        <f t="shared" si="12"/>
        <v/>
      </c>
      <c r="L102" s="8" t="str">
        <f>IF('1 - Mix Reference'!I13="","",'1 - Mix Reference'!I13)</f>
        <v/>
      </c>
      <c r="M102" s="9" t="str">
        <f t="shared" si="13"/>
        <v/>
      </c>
      <c r="N102" s="9" t="str">
        <f t="shared" si="14"/>
        <v/>
      </c>
      <c r="O102" s="9" t="str">
        <f t="shared" si="15"/>
        <v/>
      </c>
      <c r="P102" s="6"/>
    </row>
    <row r="103" spans="1:16" x14ac:dyDescent="0.3">
      <c r="A103" s="10" t="s">
        <v>69</v>
      </c>
      <c r="B103" s="10">
        <v>600</v>
      </c>
      <c r="C103" s="10">
        <v>3</v>
      </c>
      <c r="D103" s="6"/>
      <c r="E103" s="6"/>
      <c r="F103" s="6"/>
      <c r="G103" s="6"/>
      <c r="H103" s="6"/>
      <c r="I103" s="6"/>
      <c r="J103" s="6"/>
      <c r="K103" s="7" t="str">
        <f t="shared" si="12"/>
        <v/>
      </c>
      <c r="L103" s="8" t="str">
        <f>IF('1 - Mix Reference'!I13="","",'1 - Mix Reference'!I13)</f>
        <v/>
      </c>
      <c r="M103" s="9" t="str">
        <f t="shared" si="13"/>
        <v/>
      </c>
      <c r="N103" s="9" t="str">
        <f t="shared" si="14"/>
        <v/>
      </c>
      <c r="O103" s="9" t="str">
        <f t="shared" si="15"/>
        <v/>
      </c>
      <c r="P103" s="6"/>
    </row>
    <row r="104" spans="1:16" x14ac:dyDescent="0.3">
      <c r="A104" s="10" t="s">
        <v>70</v>
      </c>
      <c r="B104" s="10">
        <v>600</v>
      </c>
      <c r="C104" s="10">
        <v>1</v>
      </c>
      <c r="D104" s="6"/>
      <c r="E104" s="6"/>
      <c r="F104" s="6"/>
      <c r="G104" s="6"/>
      <c r="H104" s="6"/>
      <c r="I104" s="6"/>
      <c r="J104" s="6"/>
      <c r="K104" s="7" t="str">
        <f t="shared" si="12"/>
        <v/>
      </c>
      <c r="L104" s="8" t="str">
        <f>IF('1 - Mix Reference'!I14="","",'1 - Mix Reference'!I14)</f>
        <v/>
      </c>
      <c r="M104" s="9" t="str">
        <f t="shared" si="13"/>
        <v/>
      </c>
      <c r="N104" s="9" t="str">
        <f t="shared" si="14"/>
        <v/>
      </c>
      <c r="O104" s="9" t="str">
        <f t="shared" si="15"/>
        <v/>
      </c>
      <c r="P104" s="6"/>
    </row>
    <row r="105" spans="1:16" x14ac:dyDescent="0.3">
      <c r="A105" s="5" t="s">
        <v>70</v>
      </c>
      <c r="B105" s="5">
        <v>600</v>
      </c>
      <c r="C105" s="5">
        <v>2</v>
      </c>
      <c r="D105" s="6"/>
      <c r="E105" s="6"/>
      <c r="F105" s="6"/>
      <c r="G105" s="6"/>
      <c r="H105" s="6"/>
      <c r="I105" s="6"/>
      <c r="J105" s="6"/>
      <c r="K105" s="7" t="str">
        <f t="shared" si="12"/>
        <v/>
      </c>
      <c r="L105" s="8" t="str">
        <f>IF('1 - Mix Reference'!I14="","",'1 - Mix Reference'!I14)</f>
        <v/>
      </c>
      <c r="M105" s="9" t="str">
        <f t="shared" si="13"/>
        <v/>
      </c>
      <c r="N105" s="9" t="str">
        <f t="shared" si="14"/>
        <v/>
      </c>
      <c r="O105" s="9" t="str">
        <f t="shared" si="15"/>
        <v/>
      </c>
      <c r="P105" s="6"/>
    </row>
    <row r="106" spans="1:16" x14ac:dyDescent="0.3">
      <c r="A106" s="5" t="s">
        <v>70</v>
      </c>
      <c r="B106" s="5">
        <v>600</v>
      </c>
      <c r="C106" s="5">
        <v>3</v>
      </c>
      <c r="D106" s="6"/>
      <c r="E106" s="6"/>
      <c r="F106" s="6"/>
      <c r="G106" s="6"/>
      <c r="H106" s="6"/>
      <c r="I106" s="6"/>
      <c r="J106" s="6"/>
      <c r="K106" s="7" t="str">
        <f t="shared" si="12"/>
        <v/>
      </c>
      <c r="L106" s="8" t="str">
        <f>IF('1 - Mix Reference'!I14="","",'1 - Mix Reference'!I14)</f>
        <v/>
      </c>
      <c r="M106" s="9" t="str">
        <f t="shared" si="13"/>
        <v/>
      </c>
      <c r="N106" s="9" t="str">
        <f t="shared" si="14"/>
        <v/>
      </c>
      <c r="O106" s="9" t="str">
        <f t="shared" si="15"/>
        <v/>
      </c>
      <c r="P106" s="6"/>
    </row>
    <row r="107" spans="1:16" x14ac:dyDescent="0.3">
      <c r="A107" s="5" t="s">
        <v>73</v>
      </c>
      <c r="B107" s="5">
        <v>600</v>
      </c>
      <c r="C107" s="5">
        <v>1</v>
      </c>
      <c r="D107" s="6"/>
      <c r="E107" s="6"/>
      <c r="F107" s="6"/>
      <c r="G107" s="6"/>
      <c r="H107" s="6"/>
      <c r="I107" s="6"/>
      <c r="J107" s="6"/>
      <c r="K107" s="7" t="str">
        <f t="shared" si="12"/>
        <v/>
      </c>
      <c r="L107" s="8" t="str">
        <f>IF('1 - Mix Reference'!I15="","",'1 - Mix Reference'!I15)</f>
        <v/>
      </c>
      <c r="M107" s="9" t="str">
        <f t="shared" si="13"/>
        <v/>
      </c>
      <c r="N107" s="9" t="str">
        <f t="shared" si="14"/>
        <v/>
      </c>
      <c r="O107" s="9" t="str">
        <f t="shared" si="15"/>
        <v/>
      </c>
      <c r="P107" s="6"/>
    </row>
    <row r="108" spans="1:16" x14ac:dyDescent="0.3">
      <c r="A108" s="10" t="s">
        <v>73</v>
      </c>
      <c r="B108" s="10">
        <v>600</v>
      </c>
      <c r="C108" s="10">
        <v>2</v>
      </c>
      <c r="D108" s="6"/>
      <c r="E108" s="6"/>
      <c r="F108" s="6"/>
      <c r="G108" s="6"/>
      <c r="H108" s="6"/>
      <c r="I108" s="6"/>
      <c r="J108" s="6"/>
      <c r="K108" s="7" t="str">
        <f t="shared" si="12"/>
        <v/>
      </c>
      <c r="L108" s="8" t="str">
        <f>IF('1 - Mix Reference'!I15="","",'1 - Mix Reference'!I15)</f>
        <v/>
      </c>
      <c r="M108" s="9" t="str">
        <f t="shared" si="13"/>
        <v/>
      </c>
      <c r="N108" s="9" t="str">
        <f t="shared" si="14"/>
        <v/>
      </c>
      <c r="O108" s="9" t="str">
        <f t="shared" si="15"/>
        <v/>
      </c>
      <c r="P108" s="6"/>
    </row>
    <row r="109" spans="1:16" x14ac:dyDescent="0.3">
      <c r="A109" s="10" t="s">
        <v>73</v>
      </c>
      <c r="B109" s="10">
        <v>600</v>
      </c>
      <c r="C109" s="10">
        <v>3</v>
      </c>
      <c r="D109" s="6"/>
      <c r="E109" s="6"/>
      <c r="F109" s="6"/>
      <c r="G109" s="6"/>
      <c r="H109" s="6"/>
      <c r="I109" s="6"/>
      <c r="J109" s="6"/>
      <c r="K109" s="7" t="str">
        <f t="shared" si="12"/>
        <v/>
      </c>
      <c r="L109" s="8" t="str">
        <f>IF('1 - Mix Reference'!I15="","",'1 - Mix Reference'!I15)</f>
        <v/>
      </c>
      <c r="M109" s="9" t="str">
        <f t="shared" si="13"/>
        <v/>
      </c>
      <c r="N109" s="9" t="str">
        <f t="shared" si="14"/>
        <v/>
      </c>
      <c r="O109" s="9" t="str">
        <f t="shared" si="15"/>
        <v/>
      </c>
      <c r="P109" s="6"/>
    </row>
    <row r="110" spans="1:16" x14ac:dyDescent="0.3">
      <c r="A110" s="10" t="s">
        <v>74</v>
      </c>
      <c r="B110" s="10">
        <v>600</v>
      </c>
      <c r="C110" s="10">
        <v>1</v>
      </c>
      <c r="D110" s="6"/>
      <c r="E110" s="6"/>
      <c r="F110" s="6"/>
      <c r="G110" s="6"/>
      <c r="H110" s="6"/>
      <c r="I110" s="6"/>
      <c r="J110" s="6"/>
      <c r="K110" s="7" t="str">
        <f t="shared" si="12"/>
        <v/>
      </c>
      <c r="L110" s="8" t="str">
        <f>IF('1 - Mix Reference'!I16="","",'1 - Mix Reference'!I16)</f>
        <v/>
      </c>
      <c r="M110" s="9" t="str">
        <f t="shared" si="13"/>
        <v/>
      </c>
      <c r="N110" s="9" t="str">
        <f t="shared" si="14"/>
        <v/>
      </c>
      <c r="O110" s="9" t="str">
        <f t="shared" si="15"/>
        <v/>
      </c>
      <c r="P110" s="6"/>
    </row>
    <row r="111" spans="1:16" x14ac:dyDescent="0.3">
      <c r="A111" s="5" t="s">
        <v>74</v>
      </c>
      <c r="B111" s="5">
        <v>600</v>
      </c>
      <c r="C111" s="5">
        <v>2</v>
      </c>
      <c r="D111" s="6"/>
      <c r="E111" s="6"/>
      <c r="F111" s="6"/>
      <c r="G111" s="6"/>
      <c r="H111" s="6"/>
      <c r="I111" s="6"/>
      <c r="J111" s="6"/>
      <c r="K111" s="7" t="str">
        <f t="shared" si="12"/>
        <v/>
      </c>
      <c r="L111" s="8" t="str">
        <f>IF('1 - Mix Reference'!I16="","",'1 - Mix Reference'!I16)</f>
        <v/>
      </c>
      <c r="M111" s="9" t="str">
        <f t="shared" si="13"/>
        <v/>
      </c>
      <c r="N111" s="9" t="str">
        <f t="shared" si="14"/>
        <v/>
      </c>
      <c r="O111" s="9" t="str">
        <f t="shared" si="15"/>
        <v/>
      </c>
      <c r="P111" s="6"/>
    </row>
    <row r="112" spans="1:16" x14ac:dyDescent="0.3">
      <c r="A112" s="5" t="s">
        <v>74</v>
      </c>
      <c r="B112" s="5">
        <v>600</v>
      </c>
      <c r="C112" s="5">
        <v>3</v>
      </c>
      <c r="D112" s="6"/>
      <c r="E112" s="6"/>
      <c r="F112" s="6"/>
      <c r="G112" s="6"/>
      <c r="H112" s="6"/>
      <c r="I112" s="6"/>
      <c r="J112" s="6"/>
      <c r="K112" s="7" t="str">
        <f t="shared" si="12"/>
        <v/>
      </c>
      <c r="L112" s="8" t="str">
        <f>IF('1 - Mix Reference'!I16="","",'1 - Mix Reference'!I16)</f>
        <v/>
      </c>
      <c r="M112" s="9" t="str">
        <f t="shared" si="13"/>
        <v/>
      </c>
      <c r="N112" s="9" t="str">
        <f t="shared" si="14"/>
        <v/>
      </c>
      <c r="O112" s="9" t="str">
        <f t="shared" si="15"/>
        <v/>
      </c>
      <c r="P112" s="6"/>
    </row>
    <row r="113" spans="1:16" x14ac:dyDescent="0.3">
      <c r="A113" s="5" t="s">
        <v>48</v>
      </c>
      <c r="B113" s="5">
        <v>800</v>
      </c>
      <c r="C113" s="5">
        <v>1</v>
      </c>
      <c r="D113" s="6"/>
      <c r="E113" s="6"/>
      <c r="F113" s="6"/>
      <c r="G113" s="6"/>
      <c r="H113" s="6"/>
      <c r="I113" s="6"/>
      <c r="J113" s="6"/>
      <c r="K113" s="7" t="str">
        <f t="shared" si="12"/>
        <v/>
      </c>
      <c r="L113" s="8" t="str">
        <f>IF('1 - Mix Reference'!I5="","",'1 - Mix Reference'!I5)</f>
        <v/>
      </c>
      <c r="M113" s="9" t="str">
        <f t="shared" si="13"/>
        <v/>
      </c>
      <c r="N113" s="9" t="str">
        <f t="shared" si="14"/>
        <v/>
      </c>
      <c r="O113" s="9" t="str">
        <f t="shared" si="15"/>
        <v/>
      </c>
      <c r="P113" s="6"/>
    </row>
    <row r="114" spans="1:16" x14ac:dyDescent="0.3">
      <c r="A114" s="10" t="s">
        <v>48</v>
      </c>
      <c r="B114" s="10">
        <v>800</v>
      </c>
      <c r="C114" s="10">
        <v>2</v>
      </c>
      <c r="D114" s="6"/>
      <c r="E114" s="6"/>
      <c r="F114" s="6"/>
      <c r="G114" s="6"/>
      <c r="H114" s="6"/>
      <c r="I114" s="6"/>
      <c r="J114" s="6"/>
      <c r="K114" s="7" t="str">
        <f t="shared" si="12"/>
        <v/>
      </c>
      <c r="L114" s="8" t="str">
        <f>IF('1 - Mix Reference'!I5="","",'1 - Mix Reference'!I5)</f>
        <v/>
      </c>
      <c r="M114" s="9" t="str">
        <f t="shared" si="13"/>
        <v/>
      </c>
      <c r="N114" s="9" t="str">
        <f t="shared" si="14"/>
        <v/>
      </c>
      <c r="O114" s="9" t="str">
        <f t="shared" si="15"/>
        <v/>
      </c>
      <c r="P114" s="6"/>
    </row>
    <row r="115" spans="1:16" x14ac:dyDescent="0.3">
      <c r="A115" s="10" t="s">
        <v>48</v>
      </c>
      <c r="B115" s="10">
        <v>800</v>
      </c>
      <c r="C115" s="10">
        <v>3</v>
      </c>
      <c r="D115" s="6"/>
      <c r="E115" s="6"/>
      <c r="F115" s="6"/>
      <c r="G115" s="6"/>
      <c r="H115" s="6"/>
      <c r="I115" s="6"/>
      <c r="J115" s="6"/>
      <c r="K115" s="7" t="str">
        <f t="shared" si="12"/>
        <v/>
      </c>
      <c r="L115" s="8" t="str">
        <f>IF('1 - Mix Reference'!I5="","",'1 - Mix Reference'!I5)</f>
        <v/>
      </c>
      <c r="M115" s="9" t="str">
        <f t="shared" si="13"/>
        <v/>
      </c>
      <c r="N115" s="9" t="str">
        <f t="shared" si="14"/>
        <v/>
      </c>
      <c r="O115" s="9" t="str">
        <f t="shared" si="15"/>
        <v/>
      </c>
      <c r="P115" s="6"/>
    </row>
    <row r="116" spans="1:16" x14ac:dyDescent="0.3">
      <c r="A116" s="10" t="s">
        <v>52</v>
      </c>
      <c r="B116" s="10">
        <v>800</v>
      </c>
      <c r="C116" s="10">
        <v>1</v>
      </c>
      <c r="D116" s="6"/>
      <c r="E116" s="6"/>
      <c r="F116" s="6"/>
      <c r="G116" s="6"/>
      <c r="H116" s="6"/>
      <c r="I116" s="6"/>
      <c r="J116" s="6"/>
      <c r="K116" s="7" t="str">
        <f t="shared" si="12"/>
        <v/>
      </c>
      <c r="L116" s="8" t="str">
        <f>IF('1 - Mix Reference'!I6="","",'1 - Mix Reference'!I6)</f>
        <v/>
      </c>
      <c r="M116" s="9" t="str">
        <f t="shared" si="13"/>
        <v/>
      </c>
      <c r="N116" s="9" t="str">
        <f t="shared" si="14"/>
        <v/>
      </c>
      <c r="O116" s="9" t="str">
        <f t="shared" si="15"/>
        <v/>
      </c>
      <c r="P116" s="6"/>
    </row>
    <row r="117" spans="1:16" x14ac:dyDescent="0.3">
      <c r="A117" s="5" t="s">
        <v>52</v>
      </c>
      <c r="B117" s="5">
        <v>800</v>
      </c>
      <c r="C117" s="5">
        <v>2</v>
      </c>
      <c r="D117" s="6"/>
      <c r="E117" s="6"/>
      <c r="F117" s="6"/>
      <c r="G117" s="6"/>
      <c r="H117" s="6"/>
      <c r="I117" s="6"/>
      <c r="J117" s="6"/>
      <c r="K117" s="7" t="str">
        <f t="shared" si="12"/>
        <v/>
      </c>
      <c r="L117" s="8" t="str">
        <f>IF('1 - Mix Reference'!I6="","",'1 - Mix Reference'!I6)</f>
        <v/>
      </c>
      <c r="M117" s="9" t="str">
        <f t="shared" si="13"/>
        <v/>
      </c>
      <c r="N117" s="9" t="str">
        <f t="shared" si="14"/>
        <v/>
      </c>
      <c r="O117" s="9" t="str">
        <f t="shared" si="15"/>
        <v/>
      </c>
      <c r="P117" s="6"/>
    </row>
    <row r="118" spans="1:16" x14ac:dyDescent="0.3">
      <c r="A118" s="5" t="s">
        <v>52</v>
      </c>
      <c r="B118" s="5">
        <v>800</v>
      </c>
      <c r="C118" s="5">
        <v>3</v>
      </c>
      <c r="D118" s="6"/>
      <c r="E118" s="6"/>
      <c r="F118" s="6"/>
      <c r="G118" s="6"/>
      <c r="H118" s="6"/>
      <c r="I118" s="6"/>
      <c r="J118" s="6"/>
      <c r="K118" s="7" t="str">
        <f t="shared" si="12"/>
        <v/>
      </c>
      <c r="L118" s="8" t="str">
        <f>IF('1 - Mix Reference'!I6="","",'1 - Mix Reference'!I6)</f>
        <v/>
      </c>
      <c r="M118" s="9" t="str">
        <f t="shared" si="13"/>
        <v/>
      </c>
      <c r="N118" s="9" t="str">
        <f t="shared" si="14"/>
        <v/>
      </c>
      <c r="O118" s="9" t="str">
        <f t="shared" si="15"/>
        <v/>
      </c>
      <c r="P118" s="6"/>
    </row>
    <row r="119" spans="1:16" x14ac:dyDescent="0.3">
      <c r="A119" s="5" t="s">
        <v>55</v>
      </c>
      <c r="B119" s="5">
        <v>800</v>
      </c>
      <c r="C119" s="5">
        <v>1</v>
      </c>
      <c r="D119" s="6"/>
      <c r="E119" s="6"/>
      <c r="F119" s="6"/>
      <c r="G119" s="6"/>
      <c r="H119" s="6"/>
      <c r="I119" s="6"/>
      <c r="J119" s="6"/>
      <c r="K119" s="7" t="str">
        <f t="shared" si="12"/>
        <v/>
      </c>
      <c r="L119" s="8" t="str">
        <f>IF('1 - Mix Reference'!I7="","",'1 - Mix Reference'!I7)</f>
        <v/>
      </c>
      <c r="M119" s="9" t="str">
        <f t="shared" si="13"/>
        <v/>
      </c>
      <c r="N119" s="9" t="str">
        <f t="shared" si="14"/>
        <v/>
      </c>
      <c r="O119" s="9" t="str">
        <f t="shared" si="15"/>
        <v/>
      </c>
      <c r="P119" s="6"/>
    </row>
    <row r="120" spans="1:16" x14ac:dyDescent="0.3">
      <c r="A120" s="10" t="s">
        <v>55</v>
      </c>
      <c r="B120" s="10">
        <v>800</v>
      </c>
      <c r="C120" s="10">
        <v>2</v>
      </c>
      <c r="D120" s="6"/>
      <c r="E120" s="6"/>
      <c r="F120" s="6"/>
      <c r="G120" s="6"/>
      <c r="H120" s="6"/>
      <c r="I120" s="6"/>
      <c r="J120" s="6"/>
      <c r="K120" s="7" t="str">
        <f t="shared" si="12"/>
        <v/>
      </c>
      <c r="L120" s="8" t="str">
        <f>IF('1 - Mix Reference'!I7="","",'1 - Mix Reference'!I7)</f>
        <v/>
      </c>
      <c r="M120" s="9" t="str">
        <f t="shared" si="13"/>
        <v/>
      </c>
      <c r="N120" s="9" t="str">
        <f t="shared" si="14"/>
        <v/>
      </c>
      <c r="O120" s="9" t="str">
        <f t="shared" si="15"/>
        <v/>
      </c>
      <c r="P120" s="6"/>
    </row>
    <row r="121" spans="1:16" x14ac:dyDescent="0.3">
      <c r="A121" s="10" t="s">
        <v>55</v>
      </c>
      <c r="B121" s="10">
        <v>800</v>
      </c>
      <c r="C121" s="10">
        <v>3</v>
      </c>
      <c r="D121" s="6"/>
      <c r="E121" s="6"/>
      <c r="F121" s="6"/>
      <c r="G121" s="6"/>
      <c r="H121" s="6"/>
      <c r="I121" s="6"/>
      <c r="J121" s="6"/>
      <c r="K121" s="7" t="str">
        <f t="shared" si="12"/>
        <v/>
      </c>
      <c r="L121" s="8" t="str">
        <f>IF('1 - Mix Reference'!I7="","",'1 - Mix Reference'!I7)</f>
        <v/>
      </c>
      <c r="M121" s="9" t="str">
        <f t="shared" si="13"/>
        <v/>
      </c>
      <c r="N121" s="9" t="str">
        <f t="shared" si="14"/>
        <v/>
      </c>
      <c r="O121" s="9" t="str">
        <f t="shared" si="15"/>
        <v/>
      </c>
      <c r="P121" s="6"/>
    </row>
    <row r="122" spans="1:16" x14ac:dyDescent="0.3">
      <c r="A122" s="10" t="s">
        <v>57</v>
      </c>
      <c r="B122" s="10">
        <v>800</v>
      </c>
      <c r="C122" s="10">
        <v>1</v>
      </c>
      <c r="D122" s="6"/>
      <c r="E122" s="6"/>
      <c r="F122" s="6"/>
      <c r="G122" s="6"/>
      <c r="H122" s="6"/>
      <c r="I122" s="6"/>
      <c r="J122" s="6"/>
      <c r="K122" s="7" t="str">
        <f t="shared" si="12"/>
        <v/>
      </c>
      <c r="L122" s="8" t="str">
        <f>IF('1 - Mix Reference'!I8="","",'1 - Mix Reference'!I8)</f>
        <v/>
      </c>
      <c r="M122" s="9" t="str">
        <f t="shared" si="13"/>
        <v/>
      </c>
      <c r="N122" s="9" t="str">
        <f t="shared" si="14"/>
        <v/>
      </c>
      <c r="O122" s="9" t="str">
        <f t="shared" si="15"/>
        <v/>
      </c>
      <c r="P122" s="6"/>
    </row>
    <row r="123" spans="1:16" x14ac:dyDescent="0.3">
      <c r="A123" s="5" t="s">
        <v>57</v>
      </c>
      <c r="B123" s="5">
        <v>800</v>
      </c>
      <c r="C123" s="5">
        <v>2</v>
      </c>
      <c r="D123" s="6"/>
      <c r="E123" s="6"/>
      <c r="F123" s="6"/>
      <c r="G123" s="6"/>
      <c r="H123" s="6"/>
      <c r="I123" s="6"/>
      <c r="J123" s="6"/>
      <c r="K123" s="7" t="str">
        <f t="shared" si="12"/>
        <v/>
      </c>
      <c r="L123" s="8" t="str">
        <f>IF('1 - Mix Reference'!I8="","",'1 - Mix Reference'!I8)</f>
        <v/>
      </c>
      <c r="M123" s="9" t="str">
        <f t="shared" si="13"/>
        <v/>
      </c>
      <c r="N123" s="9" t="str">
        <f t="shared" si="14"/>
        <v/>
      </c>
      <c r="O123" s="9" t="str">
        <f t="shared" si="15"/>
        <v/>
      </c>
      <c r="P123" s="6"/>
    </row>
    <row r="124" spans="1:16" x14ac:dyDescent="0.3">
      <c r="A124" s="5" t="s">
        <v>57</v>
      </c>
      <c r="B124" s="5">
        <v>800</v>
      </c>
      <c r="C124" s="5">
        <v>3</v>
      </c>
      <c r="D124" s="6"/>
      <c r="E124" s="6"/>
      <c r="F124" s="6"/>
      <c r="G124" s="6"/>
      <c r="H124" s="6"/>
      <c r="I124" s="6"/>
      <c r="J124" s="6"/>
      <c r="K124" s="7" t="str">
        <f t="shared" si="12"/>
        <v/>
      </c>
      <c r="L124" s="8" t="str">
        <f>IF('1 - Mix Reference'!I8="","",'1 - Mix Reference'!I8)</f>
        <v/>
      </c>
      <c r="M124" s="9" t="str">
        <f t="shared" si="13"/>
        <v/>
      </c>
      <c r="N124" s="9" t="str">
        <f t="shared" si="14"/>
        <v/>
      </c>
      <c r="O124" s="9" t="str">
        <f t="shared" si="15"/>
        <v/>
      </c>
      <c r="P124" s="6"/>
    </row>
    <row r="125" spans="1:16" x14ac:dyDescent="0.3">
      <c r="A125" s="5" t="s">
        <v>59</v>
      </c>
      <c r="B125" s="5">
        <v>800</v>
      </c>
      <c r="C125" s="5">
        <v>1</v>
      </c>
      <c r="D125" s="6"/>
      <c r="E125" s="6"/>
      <c r="F125" s="6"/>
      <c r="G125" s="6"/>
      <c r="H125" s="6"/>
      <c r="I125" s="6"/>
      <c r="J125" s="6"/>
      <c r="K125" s="7" t="str">
        <f t="shared" si="12"/>
        <v/>
      </c>
      <c r="L125" s="8" t="str">
        <f>IF('1 - Mix Reference'!I9="","",'1 - Mix Reference'!I9)</f>
        <v/>
      </c>
      <c r="M125" s="9" t="str">
        <f t="shared" si="13"/>
        <v/>
      </c>
      <c r="N125" s="9" t="str">
        <f t="shared" si="14"/>
        <v/>
      </c>
      <c r="O125" s="9" t="str">
        <f t="shared" si="15"/>
        <v/>
      </c>
      <c r="P125" s="6"/>
    </row>
    <row r="126" spans="1:16" x14ac:dyDescent="0.3">
      <c r="A126" s="10" t="s">
        <v>59</v>
      </c>
      <c r="B126" s="10">
        <v>800</v>
      </c>
      <c r="C126" s="10">
        <v>2</v>
      </c>
      <c r="D126" s="6"/>
      <c r="E126" s="6"/>
      <c r="F126" s="6"/>
      <c r="G126" s="6"/>
      <c r="H126" s="6"/>
      <c r="I126" s="6"/>
      <c r="J126" s="6"/>
      <c r="K126" s="7" t="str">
        <f t="shared" si="12"/>
        <v/>
      </c>
      <c r="L126" s="8" t="str">
        <f>IF('1 - Mix Reference'!I9="","",'1 - Mix Reference'!I9)</f>
        <v/>
      </c>
      <c r="M126" s="9" t="str">
        <f t="shared" si="13"/>
        <v/>
      </c>
      <c r="N126" s="9" t="str">
        <f t="shared" si="14"/>
        <v/>
      </c>
      <c r="O126" s="9" t="str">
        <f t="shared" si="15"/>
        <v/>
      </c>
      <c r="P126" s="6"/>
    </row>
    <row r="127" spans="1:16" x14ac:dyDescent="0.3">
      <c r="A127" s="10" t="s">
        <v>59</v>
      </c>
      <c r="B127" s="10">
        <v>800</v>
      </c>
      <c r="C127" s="10">
        <v>3</v>
      </c>
      <c r="D127" s="6"/>
      <c r="E127" s="6"/>
      <c r="F127" s="6"/>
      <c r="G127" s="6"/>
      <c r="H127" s="6"/>
      <c r="I127" s="6"/>
      <c r="J127" s="6"/>
      <c r="K127" s="7" t="str">
        <f t="shared" si="12"/>
        <v/>
      </c>
      <c r="L127" s="8" t="str">
        <f>IF('1 - Mix Reference'!I9="","",'1 - Mix Reference'!I9)</f>
        <v/>
      </c>
      <c r="M127" s="9" t="str">
        <f t="shared" si="13"/>
        <v/>
      </c>
      <c r="N127" s="9" t="str">
        <f t="shared" si="14"/>
        <v/>
      </c>
      <c r="O127" s="9" t="str">
        <f t="shared" si="15"/>
        <v/>
      </c>
      <c r="P127" s="6"/>
    </row>
    <row r="128" spans="1:16" x14ac:dyDescent="0.3">
      <c r="A128" s="10" t="s">
        <v>61</v>
      </c>
      <c r="B128" s="10">
        <v>800</v>
      </c>
      <c r="C128" s="10">
        <v>1</v>
      </c>
      <c r="D128" s="6"/>
      <c r="E128" s="6"/>
      <c r="F128" s="6"/>
      <c r="G128" s="6"/>
      <c r="H128" s="6"/>
      <c r="I128" s="6"/>
      <c r="J128" s="6"/>
      <c r="K128" s="7" t="str">
        <f t="shared" si="12"/>
        <v/>
      </c>
      <c r="L128" s="8" t="str">
        <f>IF('1 - Mix Reference'!I10="","",'1 - Mix Reference'!I10)</f>
        <v/>
      </c>
      <c r="M128" s="9" t="str">
        <f t="shared" si="13"/>
        <v/>
      </c>
      <c r="N128" s="9" t="str">
        <f t="shared" si="14"/>
        <v/>
      </c>
      <c r="O128" s="9" t="str">
        <f t="shared" si="15"/>
        <v/>
      </c>
      <c r="P128" s="6"/>
    </row>
    <row r="129" spans="1:16" x14ac:dyDescent="0.3">
      <c r="A129" s="5" t="s">
        <v>61</v>
      </c>
      <c r="B129" s="5">
        <v>800</v>
      </c>
      <c r="C129" s="5">
        <v>2</v>
      </c>
      <c r="D129" s="6"/>
      <c r="E129" s="6"/>
      <c r="F129" s="6"/>
      <c r="G129" s="6"/>
      <c r="H129" s="6"/>
      <c r="I129" s="6"/>
      <c r="J129" s="6"/>
      <c r="K129" s="7" t="str">
        <f t="shared" si="12"/>
        <v/>
      </c>
      <c r="L129" s="8" t="str">
        <f>IF('1 - Mix Reference'!I10="","",'1 - Mix Reference'!I10)</f>
        <v/>
      </c>
      <c r="M129" s="9" t="str">
        <f t="shared" si="13"/>
        <v/>
      </c>
      <c r="N129" s="9" t="str">
        <f t="shared" si="14"/>
        <v/>
      </c>
      <c r="O129" s="9" t="str">
        <f t="shared" si="15"/>
        <v/>
      </c>
      <c r="P129" s="6"/>
    </row>
    <row r="130" spans="1:16" x14ac:dyDescent="0.3">
      <c r="A130" s="5" t="s">
        <v>61</v>
      </c>
      <c r="B130" s="5">
        <v>800</v>
      </c>
      <c r="C130" s="5">
        <v>3</v>
      </c>
      <c r="D130" s="6"/>
      <c r="E130" s="6"/>
      <c r="F130" s="6"/>
      <c r="G130" s="6"/>
      <c r="H130" s="6"/>
      <c r="I130" s="6"/>
      <c r="J130" s="6"/>
      <c r="K130" s="7" t="str">
        <f t="shared" si="12"/>
        <v/>
      </c>
      <c r="L130" s="8" t="str">
        <f>IF('1 - Mix Reference'!I10="","",'1 - Mix Reference'!I10)</f>
        <v/>
      </c>
      <c r="M130" s="9" t="str">
        <f t="shared" si="13"/>
        <v/>
      </c>
      <c r="N130" s="9" t="str">
        <f t="shared" si="14"/>
        <v/>
      </c>
      <c r="O130" s="9" t="str">
        <f t="shared" si="15"/>
        <v/>
      </c>
      <c r="P130" s="6"/>
    </row>
    <row r="131" spans="1:16" x14ac:dyDescent="0.3">
      <c r="A131" s="5" t="s">
        <v>63</v>
      </c>
      <c r="B131" s="5">
        <v>800</v>
      </c>
      <c r="C131" s="5">
        <v>1</v>
      </c>
      <c r="D131" s="6"/>
      <c r="E131" s="6"/>
      <c r="F131" s="6"/>
      <c r="G131" s="6"/>
      <c r="H131" s="6"/>
      <c r="I131" s="6"/>
      <c r="J131" s="6"/>
      <c r="K131" s="7" t="str">
        <f t="shared" si="12"/>
        <v/>
      </c>
      <c r="L131" s="8" t="str">
        <f>IF('1 - Mix Reference'!I11="","",'1 - Mix Reference'!I11)</f>
        <v/>
      </c>
      <c r="M131" s="9" t="str">
        <f t="shared" si="13"/>
        <v/>
      </c>
      <c r="N131" s="9" t="str">
        <f t="shared" si="14"/>
        <v/>
      </c>
      <c r="O131" s="9" t="str">
        <f t="shared" si="15"/>
        <v/>
      </c>
      <c r="P131" s="6"/>
    </row>
    <row r="132" spans="1:16" x14ac:dyDescent="0.3">
      <c r="A132" s="10" t="s">
        <v>63</v>
      </c>
      <c r="B132" s="10">
        <v>800</v>
      </c>
      <c r="C132" s="10">
        <v>2</v>
      </c>
      <c r="D132" s="6"/>
      <c r="E132" s="6"/>
      <c r="F132" s="6"/>
      <c r="G132" s="6"/>
      <c r="H132" s="6"/>
      <c r="I132" s="6"/>
      <c r="J132" s="6"/>
      <c r="K132" s="7" t="str">
        <f t="shared" si="12"/>
        <v/>
      </c>
      <c r="L132" s="8" t="str">
        <f>IF('1 - Mix Reference'!I11="","",'1 - Mix Reference'!I11)</f>
        <v/>
      </c>
      <c r="M132" s="9" t="str">
        <f t="shared" si="13"/>
        <v/>
      </c>
      <c r="N132" s="9" t="str">
        <f t="shared" si="14"/>
        <v/>
      </c>
      <c r="O132" s="9" t="str">
        <f t="shared" si="15"/>
        <v/>
      </c>
      <c r="P132" s="6"/>
    </row>
    <row r="133" spans="1:16" x14ac:dyDescent="0.3">
      <c r="A133" s="10" t="s">
        <v>63</v>
      </c>
      <c r="B133" s="10">
        <v>800</v>
      </c>
      <c r="C133" s="10">
        <v>3</v>
      </c>
      <c r="D133" s="6"/>
      <c r="E133" s="6"/>
      <c r="F133" s="6"/>
      <c r="G133" s="6"/>
      <c r="H133" s="6"/>
      <c r="I133" s="6"/>
      <c r="J133" s="6"/>
      <c r="K133" s="7" t="str">
        <f t="shared" ref="K133:K148" si="16">IF(J133="","",J133*1000)</f>
        <v/>
      </c>
      <c r="L133" s="8" t="str">
        <f>IF('1 - Mix Reference'!I11="","",'1 - Mix Reference'!I11)</f>
        <v/>
      </c>
      <c r="M133" s="9" t="str">
        <f t="shared" ref="M133:M148" si="17">IF(OR(D133="",F133=""),"",((D133-F133)/D133)*100)</f>
        <v/>
      </c>
      <c r="N133" s="9" t="str">
        <f t="shared" ref="N133:N148" si="18">IF(K133="","",K133/10000)</f>
        <v/>
      </c>
      <c r="O133" s="9" t="str">
        <f t="shared" ref="O133:O148" si="19">IF(OR(N133="",L133="",L133=0),"",(N133/L133)*100)</f>
        <v/>
      </c>
      <c r="P133" s="6"/>
    </row>
    <row r="134" spans="1:16" x14ac:dyDescent="0.3">
      <c r="A134" s="10" t="s">
        <v>67</v>
      </c>
      <c r="B134" s="10">
        <v>800</v>
      </c>
      <c r="C134" s="10">
        <v>1</v>
      </c>
      <c r="D134" s="6"/>
      <c r="E134" s="6"/>
      <c r="F134" s="6"/>
      <c r="G134" s="6"/>
      <c r="H134" s="6"/>
      <c r="I134" s="6"/>
      <c r="J134" s="6"/>
      <c r="K134" s="7" t="str">
        <f t="shared" si="16"/>
        <v/>
      </c>
      <c r="L134" s="8" t="str">
        <f>IF('1 - Mix Reference'!I12="","",'1 - Mix Reference'!I12)</f>
        <v/>
      </c>
      <c r="M134" s="9" t="str">
        <f t="shared" si="17"/>
        <v/>
      </c>
      <c r="N134" s="9" t="str">
        <f t="shared" si="18"/>
        <v/>
      </c>
      <c r="O134" s="9" t="str">
        <f t="shared" si="19"/>
        <v/>
      </c>
      <c r="P134" s="6"/>
    </row>
    <row r="135" spans="1:16" x14ac:dyDescent="0.3">
      <c r="A135" s="5" t="s">
        <v>67</v>
      </c>
      <c r="B135" s="5">
        <v>800</v>
      </c>
      <c r="C135" s="5">
        <v>2</v>
      </c>
      <c r="D135" s="6"/>
      <c r="E135" s="6"/>
      <c r="F135" s="6"/>
      <c r="G135" s="6"/>
      <c r="H135" s="6"/>
      <c r="I135" s="6"/>
      <c r="J135" s="6"/>
      <c r="K135" s="7" t="str">
        <f t="shared" si="16"/>
        <v/>
      </c>
      <c r="L135" s="8" t="str">
        <f>IF('1 - Mix Reference'!I12="","",'1 - Mix Reference'!I12)</f>
        <v/>
      </c>
      <c r="M135" s="9" t="str">
        <f t="shared" si="17"/>
        <v/>
      </c>
      <c r="N135" s="9" t="str">
        <f t="shared" si="18"/>
        <v/>
      </c>
      <c r="O135" s="9" t="str">
        <f t="shared" si="19"/>
        <v/>
      </c>
      <c r="P135" s="6"/>
    </row>
    <row r="136" spans="1:16" x14ac:dyDescent="0.3">
      <c r="A136" s="5" t="s">
        <v>67</v>
      </c>
      <c r="B136" s="5">
        <v>800</v>
      </c>
      <c r="C136" s="5">
        <v>3</v>
      </c>
      <c r="D136" s="6"/>
      <c r="E136" s="6"/>
      <c r="F136" s="6"/>
      <c r="G136" s="6"/>
      <c r="H136" s="6"/>
      <c r="I136" s="6"/>
      <c r="J136" s="6"/>
      <c r="K136" s="7" t="str">
        <f t="shared" si="16"/>
        <v/>
      </c>
      <c r="L136" s="8" t="str">
        <f>IF('1 - Mix Reference'!I12="","",'1 - Mix Reference'!I12)</f>
        <v/>
      </c>
      <c r="M136" s="9" t="str">
        <f t="shared" si="17"/>
        <v/>
      </c>
      <c r="N136" s="9" t="str">
        <f t="shared" si="18"/>
        <v/>
      </c>
      <c r="O136" s="9" t="str">
        <f t="shared" si="19"/>
        <v/>
      </c>
      <c r="P136" s="6"/>
    </row>
    <row r="137" spans="1:16" x14ac:dyDescent="0.3">
      <c r="A137" s="5" t="s">
        <v>69</v>
      </c>
      <c r="B137" s="5">
        <v>800</v>
      </c>
      <c r="C137" s="5">
        <v>1</v>
      </c>
      <c r="D137" s="6"/>
      <c r="E137" s="6"/>
      <c r="F137" s="6"/>
      <c r="G137" s="6"/>
      <c r="H137" s="6"/>
      <c r="I137" s="6"/>
      <c r="J137" s="6"/>
      <c r="K137" s="7" t="str">
        <f t="shared" si="16"/>
        <v/>
      </c>
      <c r="L137" s="8" t="str">
        <f>IF('1 - Mix Reference'!I13="","",'1 - Mix Reference'!I13)</f>
        <v/>
      </c>
      <c r="M137" s="9" t="str">
        <f t="shared" si="17"/>
        <v/>
      </c>
      <c r="N137" s="9" t="str">
        <f t="shared" si="18"/>
        <v/>
      </c>
      <c r="O137" s="9" t="str">
        <f t="shared" si="19"/>
        <v/>
      </c>
      <c r="P137" s="6"/>
    </row>
    <row r="138" spans="1:16" x14ac:dyDescent="0.3">
      <c r="A138" s="10" t="s">
        <v>69</v>
      </c>
      <c r="B138" s="10">
        <v>800</v>
      </c>
      <c r="C138" s="10">
        <v>2</v>
      </c>
      <c r="D138" s="6"/>
      <c r="E138" s="6"/>
      <c r="F138" s="6"/>
      <c r="G138" s="6"/>
      <c r="H138" s="6"/>
      <c r="I138" s="6"/>
      <c r="J138" s="6"/>
      <c r="K138" s="7" t="str">
        <f t="shared" si="16"/>
        <v/>
      </c>
      <c r="L138" s="8" t="str">
        <f>IF('1 - Mix Reference'!I13="","",'1 - Mix Reference'!I13)</f>
        <v/>
      </c>
      <c r="M138" s="9" t="str">
        <f t="shared" si="17"/>
        <v/>
      </c>
      <c r="N138" s="9" t="str">
        <f t="shared" si="18"/>
        <v/>
      </c>
      <c r="O138" s="9" t="str">
        <f t="shared" si="19"/>
        <v/>
      </c>
      <c r="P138" s="6"/>
    </row>
    <row r="139" spans="1:16" x14ac:dyDescent="0.3">
      <c r="A139" s="10" t="s">
        <v>69</v>
      </c>
      <c r="B139" s="10">
        <v>800</v>
      </c>
      <c r="C139" s="10">
        <v>3</v>
      </c>
      <c r="D139" s="6"/>
      <c r="E139" s="6"/>
      <c r="F139" s="6"/>
      <c r="G139" s="6"/>
      <c r="H139" s="6"/>
      <c r="I139" s="6"/>
      <c r="J139" s="6"/>
      <c r="K139" s="7" t="str">
        <f t="shared" si="16"/>
        <v/>
      </c>
      <c r="L139" s="8" t="str">
        <f>IF('1 - Mix Reference'!I13="","",'1 - Mix Reference'!I13)</f>
        <v/>
      </c>
      <c r="M139" s="9" t="str">
        <f t="shared" si="17"/>
        <v/>
      </c>
      <c r="N139" s="9" t="str">
        <f t="shared" si="18"/>
        <v/>
      </c>
      <c r="O139" s="9" t="str">
        <f t="shared" si="19"/>
        <v/>
      </c>
      <c r="P139" s="6"/>
    </row>
    <row r="140" spans="1:16" x14ac:dyDescent="0.3">
      <c r="A140" s="10" t="s">
        <v>70</v>
      </c>
      <c r="B140" s="10">
        <v>800</v>
      </c>
      <c r="C140" s="10">
        <v>1</v>
      </c>
      <c r="D140" s="6"/>
      <c r="E140" s="6"/>
      <c r="F140" s="6"/>
      <c r="G140" s="6"/>
      <c r="H140" s="6"/>
      <c r="I140" s="6"/>
      <c r="J140" s="6"/>
      <c r="K140" s="7" t="str">
        <f t="shared" si="16"/>
        <v/>
      </c>
      <c r="L140" s="8" t="str">
        <f>IF('1 - Mix Reference'!I14="","",'1 - Mix Reference'!I14)</f>
        <v/>
      </c>
      <c r="M140" s="9" t="str">
        <f t="shared" si="17"/>
        <v/>
      </c>
      <c r="N140" s="9" t="str">
        <f t="shared" si="18"/>
        <v/>
      </c>
      <c r="O140" s="9" t="str">
        <f t="shared" si="19"/>
        <v/>
      </c>
      <c r="P140" s="6"/>
    </row>
    <row r="141" spans="1:16" x14ac:dyDescent="0.3">
      <c r="A141" s="5" t="s">
        <v>70</v>
      </c>
      <c r="B141" s="5">
        <v>800</v>
      </c>
      <c r="C141" s="5">
        <v>2</v>
      </c>
      <c r="D141" s="6"/>
      <c r="E141" s="6"/>
      <c r="F141" s="6"/>
      <c r="G141" s="6"/>
      <c r="H141" s="6"/>
      <c r="I141" s="6"/>
      <c r="J141" s="6"/>
      <c r="K141" s="7" t="str">
        <f t="shared" si="16"/>
        <v/>
      </c>
      <c r="L141" s="8" t="str">
        <f>IF('1 - Mix Reference'!I14="","",'1 - Mix Reference'!I14)</f>
        <v/>
      </c>
      <c r="M141" s="9" t="str">
        <f t="shared" si="17"/>
        <v/>
      </c>
      <c r="N141" s="9" t="str">
        <f t="shared" si="18"/>
        <v/>
      </c>
      <c r="O141" s="9" t="str">
        <f t="shared" si="19"/>
        <v/>
      </c>
      <c r="P141" s="6"/>
    </row>
    <row r="142" spans="1:16" x14ac:dyDescent="0.3">
      <c r="A142" s="5" t="s">
        <v>70</v>
      </c>
      <c r="B142" s="5">
        <v>800</v>
      </c>
      <c r="C142" s="5">
        <v>3</v>
      </c>
      <c r="D142" s="6"/>
      <c r="E142" s="6"/>
      <c r="F142" s="6"/>
      <c r="G142" s="6"/>
      <c r="H142" s="6"/>
      <c r="I142" s="6"/>
      <c r="J142" s="6"/>
      <c r="K142" s="7" t="str">
        <f t="shared" si="16"/>
        <v/>
      </c>
      <c r="L142" s="8" t="str">
        <f>IF('1 - Mix Reference'!I14="","",'1 - Mix Reference'!I14)</f>
        <v/>
      </c>
      <c r="M142" s="9" t="str">
        <f t="shared" si="17"/>
        <v/>
      </c>
      <c r="N142" s="9" t="str">
        <f t="shared" si="18"/>
        <v/>
      </c>
      <c r="O142" s="9" t="str">
        <f t="shared" si="19"/>
        <v/>
      </c>
      <c r="P142" s="6"/>
    </row>
    <row r="143" spans="1:16" x14ac:dyDescent="0.3">
      <c r="A143" s="5" t="s">
        <v>73</v>
      </c>
      <c r="B143" s="5">
        <v>800</v>
      </c>
      <c r="C143" s="5">
        <v>1</v>
      </c>
      <c r="D143" s="6"/>
      <c r="E143" s="6"/>
      <c r="F143" s="6"/>
      <c r="G143" s="6"/>
      <c r="H143" s="6"/>
      <c r="I143" s="6"/>
      <c r="J143" s="6"/>
      <c r="K143" s="7" t="str">
        <f t="shared" si="16"/>
        <v/>
      </c>
      <c r="L143" s="8" t="str">
        <f>IF('1 - Mix Reference'!I15="","",'1 - Mix Reference'!I15)</f>
        <v/>
      </c>
      <c r="M143" s="9" t="str">
        <f t="shared" si="17"/>
        <v/>
      </c>
      <c r="N143" s="9" t="str">
        <f t="shared" si="18"/>
        <v/>
      </c>
      <c r="O143" s="9" t="str">
        <f t="shared" si="19"/>
        <v/>
      </c>
      <c r="P143" s="6"/>
    </row>
    <row r="144" spans="1:16" x14ac:dyDescent="0.3">
      <c r="A144" s="10" t="s">
        <v>73</v>
      </c>
      <c r="B144" s="10">
        <v>800</v>
      </c>
      <c r="C144" s="10">
        <v>2</v>
      </c>
      <c r="D144" s="6"/>
      <c r="E144" s="6"/>
      <c r="F144" s="6"/>
      <c r="G144" s="6"/>
      <c r="H144" s="6"/>
      <c r="I144" s="6"/>
      <c r="J144" s="6"/>
      <c r="K144" s="7" t="str">
        <f t="shared" si="16"/>
        <v/>
      </c>
      <c r="L144" s="8" t="str">
        <f>IF('1 - Mix Reference'!I15="","",'1 - Mix Reference'!I15)</f>
        <v/>
      </c>
      <c r="M144" s="9" t="str">
        <f t="shared" si="17"/>
        <v/>
      </c>
      <c r="N144" s="9" t="str">
        <f t="shared" si="18"/>
        <v/>
      </c>
      <c r="O144" s="9" t="str">
        <f t="shared" si="19"/>
        <v/>
      </c>
      <c r="P144" s="6"/>
    </row>
    <row r="145" spans="1:16" x14ac:dyDescent="0.3">
      <c r="A145" s="10" t="s">
        <v>73</v>
      </c>
      <c r="B145" s="10">
        <v>800</v>
      </c>
      <c r="C145" s="10">
        <v>3</v>
      </c>
      <c r="D145" s="6"/>
      <c r="E145" s="6"/>
      <c r="F145" s="6"/>
      <c r="G145" s="6"/>
      <c r="H145" s="6"/>
      <c r="I145" s="6"/>
      <c r="J145" s="6"/>
      <c r="K145" s="7" t="str">
        <f t="shared" si="16"/>
        <v/>
      </c>
      <c r="L145" s="8" t="str">
        <f>IF('1 - Mix Reference'!I15="","",'1 - Mix Reference'!I15)</f>
        <v/>
      </c>
      <c r="M145" s="9" t="str">
        <f t="shared" si="17"/>
        <v/>
      </c>
      <c r="N145" s="9" t="str">
        <f t="shared" si="18"/>
        <v/>
      </c>
      <c r="O145" s="9" t="str">
        <f t="shared" si="19"/>
        <v/>
      </c>
      <c r="P145" s="6"/>
    </row>
    <row r="146" spans="1:16" x14ac:dyDescent="0.3">
      <c r="A146" s="10" t="s">
        <v>74</v>
      </c>
      <c r="B146" s="10">
        <v>800</v>
      </c>
      <c r="C146" s="10">
        <v>1</v>
      </c>
      <c r="D146" s="6"/>
      <c r="E146" s="6"/>
      <c r="F146" s="6"/>
      <c r="G146" s="6"/>
      <c r="H146" s="6"/>
      <c r="I146" s="6"/>
      <c r="J146" s="6"/>
      <c r="K146" s="7" t="str">
        <f t="shared" si="16"/>
        <v/>
      </c>
      <c r="L146" s="8" t="str">
        <f>IF('1 - Mix Reference'!I16="","",'1 - Mix Reference'!I16)</f>
        <v/>
      </c>
      <c r="M146" s="9" t="str">
        <f t="shared" si="17"/>
        <v/>
      </c>
      <c r="N146" s="9" t="str">
        <f t="shared" si="18"/>
        <v/>
      </c>
      <c r="O146" s="9" t="str">
        <f t="shared" si="19"/>
        <v/>
      </c>
      <c r="P146" s="6"/>
    </row>
    <row r="147" spans="1:16" x14ac:dyDescent="0.3">
      <c r="A147" s="5" t="s">
        <v>74</v>
      </c>
      <c r="B147" s="5">
        <v>800</v>
      </c>
      <c r="C147" s="5">
        <v>2</v>
      </c>
      <c r="D147" s="6"/>
      <c r="E147" s="6"/>
      <c r="F147" s="6"/>
      <c r="G147" s="6"/>
      <c r="H147" s="6"/>
      <c r="I147" s="6"/>
      <c r="J147" s="6"/>
      <c r="K147" s="7" t="str">
        <f t="shared" si="16"/>
        <v/>
      </c>
      <c r="L147" s="8" t="str">
        <f>IF('1 - Mix Reference'!I16="","",'1 - Mix Reference'!I16)</f>
        <v/>
      </c>
      <c r="M147" s="9" t="str">
        <f t="shared" si="17"/>
        <v/>
      </c>
      <c r="N147" s="9" t="str">
        <f t="shared" si="18"/>
        <v/>
      </c>
      <c r="O147" s="9" t="str">
        <f t="shared" si="19"/>
        <v/>
      </c>
      <c r="P147" s="6"/>
    </row>
    <row r="148" spans="1:16" x14ac:dyDescent="0.3">
      <c r="A148" s="5" t="s">
        <v>74</v>
      </c>
      <c r="B148" s="5">
        <v>800</v>
      </c>
      <c r="C148" s="5">
        <v>3</v>
      </c>
      <c r="D148" s="6"/>
      <c r="E148" s="6"/>
      <c r="F148" s="6"/>
      <c r="G148" s="6"/>
      <c r="H148" s="6"/>
      <c r="I148" s="6"/>
      <c r="J148" s="6"/>
      <c r="K148" s="7" t="str">
        <f t="shared" si="16"/>
        <v/>
      </c>
      <c r="L148" s="8" t="str">
        <f>IF('1 - Mix Reference'!I16="","",'1 - Mix Reference'!I16)</f>
        <v/>
      </c>
      <c r="M148" s="9" t="str">
        <f t="shared" si="17"/>
        <v/>
      </c>
      <c r="N148" s="9" t="str">
        <f t="shared" si="18"/>
        <v/>
      </c>
      <c r="O148" s="9" t="str">
        <f t="shared" si="19"/>
        <v/>
      </c>
      <c r="P148" s="6"/>
    </row>
  </sheetData>
  <mergeCells count="6">
    <mergeCell ref="A1:P1"/>
    <mergeCell ref="A3:C3"/>
    <mergeCell ref="D3:E3"/>
    <mergeCell ref="F3:I3"/>
    <mergeCell ref="J3:L3"/>
    <mergeCell ref="M3:O3"/>
  </mergeCells>
  <dataValidations count="3">
    <dataValidation type="list" allowBlank="1" sqref="H5:H148" xr:uid="{00000000-0002-0000-0200-000000000000}">
      <formula1>"None,Min,Maj"</formula1>
      <formula2>0</formula2>
    </dataValidation>
    <dataValidation type="list" allowBlank="1" sqref="I5:I148" xr:uid="{00000000-0002-0000-0200-000001000000}">
      <formula1>"None,Part,Sev"</formula1>
      <formula2>0</formula2>
    </dataValidation>
    <dataValidation type="decimal" operator="greaterThan" allowBlank="1" errorTitle="Check value" error="Enter a positive number (g or kN)." sqref="D5:D148 F5:F148 J5:J148" xr:uid="{00000000-0002-0000-0200-000002000000}">
      <formula1>0</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229"/>
  <sheetViews>
    <sheetView zoomScaleNormal="100" workbookViewId="0">
      <selection activeCell="M9" sqref="M9"/>
    </sheetView>
  </sheetViews>
  <sheetFormatPr defaultColWidth="8.6640625" defaultRowHeight="13.8" x14ac:dyDescent="0.25"/>
  <cols>
    <col min="1" max="15" width="16" style="2" customWidth="1"/>
    <col min="16" max="16384" width="8.6640625" style="2"/>
  </cols>
  <sheetData>
    <row r="1" spans="1:15" ht="17.399999999999999" x14ac:dyDescent="0.3">
      <c r="A1" s="50" t="s">
        <v>98</v>
      </c>
      <c r="B1" s="50"/>
      <c r="C1" s="50"/>
      <c r="D1" s="50"/>
      <c r="E1" s="50"/>
      <c r="F1" s="50"/>
      <c r="G1" s="50"/>
      <c r="H1" s="50"/>
      <c r="I1" s="50"/>
      <c r="J1" s="50"/>
      <c r="K1" s="50"/>
      <c r="L1" s="50"/>
      <c r="M1" s="50"/>
      <c r="N1" s="50"/>
      <c r="O1" s="50"/>
    </row>
    <row r="2" spans="1:15" x14ac:dyDescent="0.25">
      <c r="A2" s="1" t="s">
        <v>99</v>
      </c>
    </row>
    <row r="4" spans="1:15" x14ac:dyDescent="0.25">
      <c r="A4" s="29" t="s">
        <v>100</v>
      </c>
    </row>
    <row r="24" spans="1:1" x14ac:dyDescent="0.25">
      <c r="A24" s="29" t="s">
        <v>101</v>
      </c>
    </row>
    <row r="44" spans="1:1" x14ac:dyDescent="0.25">
      <c r="A44" s="29" t="s">
        <v>102</v>
      </c>
    </row>
    <row r="64" spans="1:1" x14ac:dyDescent="0.25">
      <c r="A64" s="29" t="s">
        <v>103</v>
      </c>
    </row>
    <row r="104" spans="1:1" x14ac:dyDescent="0.25">
      <c r="A104" s="29" t="s">
        <v>104</v>
      </c>
    </row>
    <row r="127" spans="1:1" x14ac:dyDescent="0.25">
      <c r="A127" s="29" t="s">
        <v>105</v>
      </c>
    </row>
    <row r="128" spans="1:1" x14ac:dyDescent="0.25">
      <c r="A128" s="29" t="s">
        <v>106</v>
      </c>
    </row>
    <row r="129" spans="1:7" x14ac:dyDescent="0.25">
      <c r="A129" s="30" t="s">
        <v>39</v>
      </c>
      <c r="B129" s="30" t="s">
        <v>40</v>
      </c>
      <c r="C129" s="30" t="s">
        <v>41</v>
      </c>
      <c r="D129" s="30" t="s">
        <v>107</v>
      </c>
      <c r="E129" s="30" t="s">
        <v>108</v>
      </c>
      <c r="F129" s="30" t="s">
        <v>109</v>
      </c>
      <c r="G129" s="30" t="s">
        <v>110</v>
      </c>
    </row>
    <row r="130" spans="1:7" x14ac:dyDescent="0.25">
      <c r="A130" s="31" t="s">
        <v>48</v>
      </c>
      <c r="B130" s="31">
        <f>'1 - Mix Reference'!B5</f>
        <v>0</v>
      </c>
      <c r="C130" s="31" t="str">
        <f>'1 - Mix Reference'!C5</f>
        <v>4M</v>
      </c>
      <c r="D130" s="32" t="str">
        <f>'4 - Residual Strength Summary'!D5</f>
        <v>Data pending</v>
      </c>
      <c r="E130" s="32" t="str">
        <f>'4 - Residual Strength Summary'!E5</f>
        <v>Data pending</v>
      </c>
      <c r="F130" s="32" t="str">
        <f>'4 - Residual Strength Summary'!F5</f>
        <v>Data pending</v>
      </c>
      <c r="G130" s="32" t="str">
        <f>'4 - Residual Strength Summary'!G5</f>
        <v>Data pending</v>
      </c>
    </row>
    <row r="131" spans="1:7" x14ac:dyDescent="0.25">
      <c r="A131" s="31" t="s">
        <v>52</v>
      </c>
      <c r="B131" s="31">
        <f>'1 - Mix Reference'!B6</f>
        <v>5</v>
      </c>
      <c r="C131" s="31" t="str">
        <f>'1 - Mix Reference'!C6</f>
        <v>4M</v>
      </c>
      <c r="D131" s="32" t="str">
        <f>'4 - Residual Strength Summary'!D6</f>
        <v>Data pending</v>
      </c>
      <c r="E131" s="32" t="str">
        <f>'4 - Residual Strength Summary'!E6</f>
        <v>Data pending</v>
      </c>
      <c r="F131" s="32" t="str">
        <f>'4 - Residual Strength Summary'!F6</f>
        <v>Data pending</v>
      </c>
      <c r="G131" s="32" t="str">
        <f>'4 - Residual Strength Summary'!G6</f>
        <v>Data pending</v>
      </c>
    </row>
    <row r="132" spans="1:7" x14ac:dyDescent="0.25">
      <c r="A132" s="31" t="s">
        <v>55</v>
      </c>
      <c r="B132" s="31">
        <f>'1 - Mix Reference'!B7</f>
        <v>10</v>
      </c>
      <c r="C132" s="31" t="str">
        <f>'1 - Mix Reference'!C7</f>
        <v>4M</v>
      </c>
      <c r="D132" s="32" t="str">
        <f>'4 - Residual Strength Summary'!D7</f>
        <v>Data pending</v>
      </c>
      <c r="E132" s="32" t="str">
        <f>'4 - Residual Strength Summary'!E7</f>
        <v>Data pending</v>
      </c>
      <c r="F132" s="32" t="str">
        <f>'4 - Residual Strength Summary'!F7</f>
        <v>Data pending</v>
      </c>
      <c r="G132" s="32" t="str">
        <f>'4 - Residual Strength Summary'!G7</f>
        <v>Data pending</v>
      </c>
    </row>
    <row r="133" spans="1:7" x14ac:dyDescent="0.25">
      <c r="A133" s="31" t="s">
        <v>57</v>
      </c>
      <c r="B133" s="31">
        <f>'1 - Mix Reference'!B8</f>
        <v>15</v>
      </c>
      <c r="C133" s="31" t="str">
        <f>'1 - Mix Reference'!C8</f>
        <v>4M</v>
      </c>
      <c r="D133" s="32" t="str">
        <f>'4 - Residual Strength Summary'!D8</f>
        <v>Data pending</v>
      </c>
      <c r="E133" s="32" t="str">
        <f>'4 - Residual Strength Summary'!E8</f>
        <v>Data pending</v>
      </c>
      <c r="F133" s="32" t="str">
        <f>'4 - Residual Strength Summary'!F8</f>
        <v>Data pending</v>
      </c>
      <c r="G133" s="32" t="str">
        <f>'4 - Residual Strength Summary'!G8</f>
        <v>Data pending</v>
      </c>
    </row>
    <row r="134" spans="1:7" x14ac:dyDescent="0.25">
      <c r="A134" s="31" t="s">
        <v>59</v>
      </c>
      <c r="B134" s="31">
        <f>'1 - Mix Reference'!B9</f>
        <v>20</v>
      </c>
      <c r="C134" s="31" t="str">
        <f>'1 - Mix Reference'!C9</f>
        <v>4M</v>
      </c>
      <c r="D134" s="32" t="str">
        <f>'4 - Residual Strength Summary'!D9</f>
        <v>Data pending</v>
      </c>
      <c r="E134" s="32" t="str">
        <f>'4 - Residual Strength Summary'!E9</f>
        <v>Data pending</v>
      </c>
      <c r="F134" s="32" t="str">
        <f>'4 - Residual Strength Summary'!F9</f>
        <v>Data pending</v>
      </c>
      <c r="G134" s="32" t="str">
        <f>'4 - Residual Strength Summary'!G9</f>
        <v>Data pending</v>
      </c>
    </row>
    <row r="135" spans="1:7" x14ac:dyDescent="0.25">
      <c r="A135" s="31" t="s">
        <v>61</v>
      </c>
      <c r="B135" s="31">
        <f>'1 - Mix Reference'!B10</f>
        <v>25</v>
      </c>
      <c r="C135" s="31" t="str">
        <f>'1 - Mix Reference'!C10</f>
        <v>4M</v>
      </c>
      <c r="D135" s="32" t="str">
        <f>'4 - Residual Strength Summary'!D10</f>
        <v>Data pending</v>
      </c>
      <c r="E135" s="32" t="str">
        <f>'4 - Residual Strength Summary'!E10</f>
        <v>Data pending</v>
      </c>
      <c r="F135" s="32" t="str">
        <f>'4 - Residual Strength Summary'!F10</f>
        <v>Data pending</v>
      </c>
      <c r="G135" s="32" t="str">
        <f>'4 - Residual Strength Summary'!G10</f>
        <v>Data pending</v>
      </c>
    </row>
    <row r="136" spans="1:7" x14ac:dyDescent="0.25">
      <c r="A136" s="31" t="s">
        <v>63</v>
      </c>
      <c r="B136" s="31">
        <f>'1 - Mix Reference'!B11</f>
        <v>0</v>
      </c>
      <c r="C136" s="31" t="str">
        <f>'1 - Mix Reference'!C11</f>
        <v>6M</v>
      </c>
      <c r="D136" s="32" t="str">
        <f>'4 - Residual Strength Summary'!D11</f>
        <v>Data pending</v>
      </c>
      <c r="E136" s="32" t="str">
        <f>'4 - Residual Strength Summary'!E11</f>
        <v>Data pending</v>
      </c>
      <c r="F136" s="32" t="str">
        <f>'4 - Residual Strength Summary'!F11</f>
        <v>Data pending</v>
      </c>
      <c r="G136" s="32" t="str">
        <f>'4 - Residual Strength Summary'!G11</f>
        <v>Data pending</v>
      </c>
    </row>
    <row r="137" spans="1:7" x14ac:dyDescent="0.25">
      <c r="A137" s="31" t="s">
        <v>67</v>
      </c>
      <c r="B137" s="31">
        <f>'1 - Mix Reference'!B12</f>
        <v>5</v>
      </c>
      <c r="C137" s="31" t="str">
        <f>'1 - Mix Reference'!C12</f>
        <v>6M</v>
      </c>
      <c r="D137" s="32" t="str">
        <f>'4 - Residual Strength Summary'!D12</f>
        <v>Data pending</v>
      </c>
      <c r="E137" s="32" t="str">
        <f>'4 - Residual Strength Summary'!E12</f>
        <v>Data pending</v>
      </c>
      <c r="F137" s="32" t="str">
        <f>'4 - Residual Strength Summary'!F12</f>
        <v>Data pending</v>
      </c>
      <c r="G137" s="32" t="str">
        <f>'4 - Residual Strength Summary'!G12</f>
        <v>Data pending</v>
      </c>
    </row>
    <row r="138" spans="1:7" x14ac:dyDescent="0.25">
      <c r="A138" s="31" t="s">
        <v>69</v>
      </c>
      <c r="B138" s="31">
        <f>'1 - Mix Reference'!B13</f>
        <v>10</v>
      </c>
      <c r="C138" s="31" t="str">
        <f>'1 - Mix Reference'!C13</f>
        <v>6M</v>
      </c>
      <c r="D138" s="32" t="str">
        <f>'4 - Residual Strength Summary'!D13</f>
        <v>Data pending</v>
      </c>
      <c r="E138" s="32" t="str">
        <f>'4 - Residual Strength Summary'!E13</f>
        <v>Data pending</v>
      </c>
      <c r="F138" s="32" t="str">
        <f>'4 - Residual Strength Summary'!F13</f>
        <v>Data pending</v>
      </c>
      <c r="G138" s="32" t="str">
        <f>'4 - Residual Strength Summary'!G13</f>
        <v>Data pending</v>
      </c>
    </row>
    <row r="139" spans="1:7" x14ac:dyDescent="0.25">
      <c r="A139" s="31" t="s">
        <v>70</v>
      </c>
      <c r="B139" s="31">
        <f>'1 - Mix Reference'!B14</f>
        <v>15</v>
      </c>
      <c r="C139" s="31" t="str">
        <f>'1 - Mix Reference'!C14</f>
        <v>6M</v>
      </c>
      <c r="D139" s="32" t="str">
        <f>'4 - Residual Strength Summary'!D14</f>
        <v>Data pending</v>
      </c>
      <c r="E139" s="32" t="str">
        <f>'4 - Residual Strength Summary'!E14</f>
        <v>Data pending</v>
      </c>
      <c r="F139" s="32" t="str">
        <f>'4 - Residual Strength Summary'!F14</f>
        <v>Data pending</v>
      </c>
      <c r="G139" s="32" t="str">
        <f>'4 - Residual Strength Summary'!G14</f>
        <v>Data pending</v>
      </c>
    </row>
    <row r="140" spans="1:7" x14ac:dyDescent="0.25">
      <c r="A140" s="31" t="s">
        <v>73</v>
      </c>
      <c r="B140" s="31">
        <f>'1 - Mix Reference'!B15</f>
        <v>20</v>
      </c>
      <c r="C140" s="31" t="str">
        <f>'1 - Mix Reference'!C15</f>
        <v>6M</v>
      </c>
      <c r="D140" s="32" t="str">
        <f>'4 - Residual Strength Summary'!D15</f>
        <v>Data pending</v>
      </c>
      <c r="E140" s="32" t="str">
        <f>'4 - Residual Strength Summary'!E15</f>
        <v>Data pending</v>
      </c>
      <c r="F140" s="32" t="str">
        <f>'4 - Residual Strength Summary'!F15</f>
        <v>Data pending</v>
      </c>
      <c r="G140" s="32" t="str">
        <f>'4 - Residual Strength Summary'!G15</f>
        <v>Data pending</v>
      </c>
    </row>
    <row r="141" spans="1:7" x14ac:dyDescent="0.25">
      <c r="A141" s="31" t="s">
        <v>74</v>
      </c>
      <c r="B141" s="31">
        <f>'1 - Mix Reference'!B16</f>
        <v>25</v>
      </c>
      <c r="C141" s="31" t="str">
        <f>'1 - Mix Reference'!C16</f>
        <v>6M</v>
      </c>
      <c r="D141" s="32" t="str">
        <f>'4 - Residual Strength Summary'!D16</f>
        <v>Data pending</v>
      </c>
      <c r="E141" s="32" t="str">
        <f>'4 - Residual Strength Summary'!E16</f>
        <v>Data pending</v>
      </c>
      <c r="F141" s="32" t="str">
        <f>'4 - Residual Strength Summary'!F16</f>
        <v>Data pending</v>
      </c>
      <c r="G141" s="32" t="str">
        <f>'4 - Residual Strength Summary'!G16</f>
        <v>Data pending</v>
      </c>
    </row>
    <row r="143" spans="1:7" x14ac:dyDescent="0.25">
      <c r="A143" s="29" t="s">
        <v>111</v>
      </c>
    </row>
    <row r="144" spans="1:7" x14ac:dyDescent="0.25">
      <c r="A144" s="30" t="s">
        <v>39</v>
      </c>
      <c r="B144" s="30" t="s">
        <v>40</v>
      </c>
      <c r="C144" s="30" t="s">
        <v>41</v>
      </c>
      <c r="D144" s="30" t="s">
        <v>107</v>
      </c>
      <c r="E144" s="30" t="s">
        <v>108</v>
      </c>
      <c r="F144" s="30" t="s">
        <v>109</v>
      </c>
      <c r="G144" s="30" t="s">
        <v>110</v>
      </c>
    </row>
    <row r="145" spans="1:7" x14ac:dyDescent="0.25">
      <c r="A145" s="31" t="s">
        <v>48</v>
      </c>
      <c r="B145" s="31">
        <f>'1 - Mix Reference'!B5</f>
        <v>0</v>
      </c>
      <c r="C145" s="31" t="str">
        <f>'1 - Mix Reference'!C5</f>
        <v>4M</v>
      </c>
      <c r="D145" s="32" t="str">
        <f>'5 - Mass Loss Summary'!D5</f>
        <v>Data pending</v>
      </c>
      <c r="E145" s="32" t="str">
        <f>'5 - Mass Loss Summary'!E5</f>
        <v>Data pending</v>
      </c>
      <c r="F145" s="32" t="str">
        <f>'5 - Mass Loss Summary'!F5</f>
        <v>Data pending</v>
      </c>
      <c r="G145" s="32" t="str">
        <f>'5 - Mass Loss Summary'!G5</f>
        <v>Data pending</v>
      </c>
    </row>
    <row r="146" spans="1:7" x14ac:dyDescent="0.25">
      <c r="A146" s="31" t="s">
        <v>52</v>
      </c>
      <c r="B146" s="31">
        <f>'1 - Mix Reference'!B6</f>
        <v>5</v>
      </c>
      <c r="C146" s="31" t="str">
        <f>'1 - Mix Reference'!C6</f>
        <v>4M</v>
      </c>
      <c r="D146" s="32" t="str">
        <f>'5 - Mass Loss Summary'!D6</f>
        <v>Data pending</v>
      </c>
      <c r="E146" s="32" t="str">
        <f>'5 - Mass Loss Summary'!E6</f>
        <v>Data pending</v>
      </c>
      <c r="F146" s="32" t="str">
        <f>'5 - Mass Loss Summary'!F6</f>
        <v>Data pending</v>
      </c>
      <c r="G146" s="32" t="str">
        <f>'5 - Mass Loss Summary'!G6</f>
        <v>Data pending</v>
      </c>
    </row>
    <row r="147" spans="1:7" x14ac:dyDescent="0.25">
      <c r="A147" s="31" t="s">
        <v>55</v>
      </c>
      <c r="B147" s="31">
        <f>'1 - Mix Reference'!B7</f>
        <v>10</v>
      </c>
      <c r="C147" s="31" t="str">
        <f>'1 - Mix Reference'!C7</f>
        <v>4M</v>
      </c>
      <c r="D147" s="32" t="str">
        <f>'5 - Mass Loss Summary'!D7</f>
        <v>Data pending</v>
      </c>
      <c r="E147" s="32" t="str">
        <f>'5 - Mass Loss Summary'!E7</f>
        <v>Data pending</v>
      </c>
      <c r="F147" s="32" t="str">
        <f>'5 - Mass Loss Summary'!F7</f>
        <v>Data pending</v>
      </c>
      <c r="G147" s="32" t="str">
        <f>'5 - Mass Loss Summary'!G7</f>
        <v>Data pending</v>
      </c>
    </row>
    <row r="148" spans="1:7" x14ac:dyDescent="0.25">
      <c r="A148" s="31" t="s">
        <v>57</v>
      </c>
      <c r="B148" s="31">
        <f>'1 - Mix Reference'!B8</f>
        <v>15</v>
      </c>
      <c r="C148" s="31" t="str">
        <f>'1 - Mix Reference'!C8</f>
        <v>4M</v>
      </c>
      <c r="D148" s="32" t="str">
        <f>'5 - Mass Loss Summary'!D8</f>
        <v>Data pending</v>
      </c>
      <c r="E148" s="32" t="str">
        <f>'5 - Mass Loss Summary'!E8</f>
        <v>Data pending</v>
      </c>
      <c r="F148" s="32" t="str">
        <f>'5 - Mass Loss Summary'!F8</f>
        <v>Data pending</v>
      </c>
      <c r="G148" s="32" t="str">
        <f>'5 - Mass Loss Summary'!G8</f>
        <v>Data pending</v>
      </c>
    </row>
    <row r="149" spans="1:7" x14ac:dyDescent="0.25">
      <c r="A149" s="31" t="s">
        <v>59</v>
      </c>
      <c r="B149" s="31">
        <f>'1 - Mix Reference'!B9</f>
        <v>20</v>
      </c>
      <c r="C149" s="31" t="str">
        <f>'1 - Mix Reference'!C9</f>
        <v>4M</v>
      </c>
      <c r="D149" s="32" t="str">
        <f>'5 - Mass Loss Summary'!D9</f>
        <v>Data pending</v>
      </c>
      <c r="E149" s="32" t="str">
        <f>'5 - Mass Loss Summary'!E9</f>
        <v>Data pending</v>
      </c>
      <c r="F149" s="32" t="str">
        <f>'5 - Mass Loss Summary'!F9</f>
        <v>Data pending</v>
      </c>
      <c r="G149" s="32" t="str">
        <f>'5 - Mass Loss Summary'!G9</f>
        <v>Data pending</v>
      </c>
    </row>
    <row r="150" spans="1:7" x14ac:dyDescent="0.25">
      <c r="A150" s="31" t="s">
        <v>61</v>
      </c>
      <c r="B150" s="31">
        <f>'1 - Mix Reference'!B10</f>
        <v>25</v>
      </c>
      <c r="C150" s="31" t="str">
        <f>'1 - Mix Reference'!C10</f>
        <v>4M</v>
      </c>
      <c r="D150" s="32" t="str">
        <f>'5 - Mass Loss Summary'!D10</f>
        <v>Data pending</v>
      </c>
      <c r="E150" s="32" t="str">
        <f>'5 - Mass Loss Summary'!E10</f>
        <v>Data pending</v>
      </c>
      <c r="F150" s="32" t="str">
        <f>'5 - Mass Loss Summary'!F10</f>
        <v>Data pending</v>
      </c>
      <c r="G150" s="32" t="str">
        <f>'5 - Mass Loss Summary'!G10</f>
        <v>Data pending</v>
      </c>
    </row>
    <row r="151" spans="1:7" x14ac:dyDescent="0.25">
      <c r="A151" s="31" t="s">
        <v>63</v>
      </c>
      <c r="B151" s="31">
        <f>'1 - Mix Reference'!B11</f>
        <v>0</v>
      </c>
      <c r="C151" s="31" t="str">
        <f>'1 - Mix Reference'!C11</f>
        <v>6M</v>
      </c>
      <c r="D151" s="32" t="str">
        <f>'5 - Mass Loss Summary'!D11</f>
        <v>Data pending</v>
      </c>
      <c r="E151" s="32" t="str">
        <f>'5 - Mass Loss Summary'!E11</f>
        <v>Data pending</v>
      </c>
      <c r="F151" s="32" t="str">
        <f>'5 - Mass Loss Summary'!F11</f>
        <v>Data pending</v>
      </c>
      <c r="G151" s="32" t="str">
        <f>'5 - Mass Loss Summary'!G11</f>
        <v>Data pending</v>
      </c>
    </row>
    <row r="152" spans="1:7" x14ac:dyDescent="0.25">
      <c r="A152" s="31" t="s">
        <v>67</v>
      </c>
      <c r="B152" s="31">
        <f>'1 - Mix Reference'!B12</f>
        <v>5</v>
      </c>
      <c r="C152" s="31" t="str">
        <f>'1 - Mix Reference'!C12</f>
        <v>6M</v>
      </c>
      <c r="D152" s="32" t="str">
        <f>'5 - Mass Loss Summary'!D12</f>
        <v>Data pending</v>
      </c>
      <c r="E152" s="32" t="str">
        <f>'5 - Mass Loss Summary'!E12</f>
        <v>Data pending</v>
      </c>
      <c r="F152" s="32" t="str">
        <f>'5 - Mass Loss Summary'!F12</f>
        <v>Data pending</v>
      </c>
      <c r="G152" s="32" t="str">
        <f>'5 - Mass Loss Summary'!G12</f>
        <v>Data pending</v>
      </c>
    </row>
    <row r="153" spans="1:7" x14ac:dyDescent="0.25">
      <c r="A153" s="31" t="s">
        <v>69</v>
      </c>
      <c r="B153" s="31">
        <f>'1 - Mix Reference'!B13</f>
        <v>10</v>
      </c>
      <c r="C153" s="31" t="str">
        <f>'1 - Mix Reference'!C13</f>
        <v>6M</v>
      </c>
      <c r="D153" s="32" t="str">
        <f>'5 - Mass Loss Summary'!D13</f>
        <v>Data pending</v>
      </c>
      <c r="E153" s="32" t="str">
        <f>'5 - Mass Loss Summary'!E13</f>
        <v>Data pending</v>
      </c>
      <c r="F153" s="32" t="str">
        <f>'5 - Mass Loss Summary'!F13</f>
        <v>Data pending</v>
      </c>
      <c r="G153" s="32" t="str">
        <f>'5 - Mass Loss Summary'!G13</f>
        <v>Data pending</v>
      </c>
    </row>
    <row r="154" spans="1:7" x14ac:dyDescent="0.25">
      <c r="A154" s="31" t="s">
        <v>70</v>
      </c>
      <c r="B154" s="31">
        <f>'1 - Mix Reference'!B14</f>
        <v>15</v>
      </c>
      <c r="C154" s="31" t="str">
        <f>'1 - Mix Reference'!C14</f>
        <v>6M</v>
      </c>
      <c r="D154" s="32" t="str">
        <f>'5 - Mass Loss Summary'!D14</f>
        <v>Data pending</v>
      </c>
      <c r="E154" s="32" t="str">
        <f>'5 - Mass Loss Summary'!E14</f>
        <v>Data pending</v>
      </c>
      <c r="F154" s="32" t="str">
        <f>'5 - Mass Loss Summary'!F14</f>
        <v>Data pending</v>
      </c>
      <c r="G154" s="32" t="str">
        <f>'5 - Mass Loss Summary'!G14</f>
        <v>Data pending</v>
      </c>
    </row>
    <row r="155" spans="1:7" x14ac:dyDescent="0.25">
      <c r="A155" s="31" t="s">
        <v>73</v>
      </c>
      <c r="B155" s="31">
        <f>'1 - Mix Reference'!B15</f>
        <v>20</v>
      </c>
      <c r="C155" s="31" t="str">
        <f>'1 - Mix Reference'!C15</f>
        <v>6M</v>
      </c>
      <c r="D155" s="32" t="str">
        <f>'5 - Mass Loss Summary'!D15</f>
        <v>Data pending</v>
      </c>
      <c r="E155" s="32" t="str">
        <f>'5 - Mass Loss Summary'!E15</f>
        <v>Data pending</v>
      </c>
      <c r="F155" s="32" t="str">
        <f>'5 - Mass Loss Summary'!F15</f>
        <v>Data pending</v>
      </c>
      <c r="G155" s="32" t="str">
        <f>'5 - Mass Loss Summary'!G15</f>
        <v>Data pending</v>
      </c>
    </row>
    <row r="156" spans="1:7" x14ac:dyDescent="0.25">
      <c r="A156" s="31" t="s">
        <v>74</v>
      </c>
      <c r="B156" s="31">
        <f>'1 - Mix Reference'!B16</f>
        <v>25</v>
      </c>
      <c r="C156" s="31" t="str">
        <f>'1 - Mix Reference'!C16</f>
        <v>6M</v>
      </c>
      <c r="D156" s="32" t="str">
        <f>'5 - Mass Loss Summary'!D16</f>
        <v>Data pending</v>
      </c>
      <c r="E156" s="32" t="str">
        <f>'5 - Mass Loss Summary'!E16</f>
        <v>Data pending</v>
      </c>
      <c r="F156" s="32" t="str">
        <f>'5 - Mass Loss Summary'!F16</f>
        <v>Data pending</v>
      </c>
      <c r="G156" s="32" t="str">
        <f>'5 - Mass Loss Summary'!G16</f>
        <v>Data pending</v>
      </c>
    </row>
    <row r="158" spans="1:7" x14ac:dyDescent="0.25">
      <c r="A158" s="29" t="s">
        <v>112</v>
      </c>
    </row>
    <row r="159" spans="1:7" x14ac:dyDescent="0.25">
      <c r="A159" s="30" t="s">
        <v>39</v>
      </c>
      <c r="B159" s="30" t="s">
        <v>40</v>
      </c>
      <c r="C159" s="30" t="s">
        <v>41</v>
      </c>
      <c r="D159" s="30" t="s">
        <v>107</v>
      </c>
      <c r="E159" s="30" t="s">
        <v>108</v>
      </c>
      <c r="F159" s="30" t="s">
        <v>109</v>
      </c>
      <c r="G159" s="30" t="s">
        <v>110</v>
      </c>
    </row>
    <row r="160" spans="1:7" x14ac:dyDescent="0.25">
      <c r="A160" s="31" t="s">
        <v>48</v>
      </c>
      <c r="B160" s="31">
        <f>'1 - Mix Reference'!B5</f>
        <v>0</v>
      </c>
      <c r="C160" s="31" t="str">
        <f>'1 - Mix Reference'!C5</f>
        <v>4M</v>
      </c>
      <c r="D160" s="32" t="str">
        <f>IF(COUNT('2 - Raw Data Entry'!N5:N7)=0,"Data pending",AVERAGE('2 - Raw Data Entry'!N5:N7))</f>
        <v>Data pending</v>
      </c>
      <c r="E160" s="32" t="str">
        <f>IF(COUNT('2 - Raw Data Entry'!N41:N43)=0,"Data pending",AVERAGE('2 - Raw Data Entry'!N41:N43))</f>
        <v>Data pending</v>
      </c>
      <c r="F160" s="32" t="str">
        <f>IF(COUNT('2 - Raw Data Entry'!N77:N79)=0,"Data pending",AVERAGE('2 - Raw Data Entry'!N77:N79))</f>
        <v>Data pending</v>
      </c>
      <c r="G160" s="32" t="str">
        <f>IF(COUNT('2 - Raw Data Entry'!N113:N115)=0,"Data pending",AVERAGE('2 - Raw Data Entry'!N113:N115))</f>
        <v>Data pending</v>
      </c>
    </row>
    <row r="161" spans="1:7" x14ac:dyDescent="0.25">
      <c r="A161" s="31" t="s">
        <v>52</v>
      </c>
      <c r="B161" s="31">
        <f>'1 - Mix Reference'!B6</f>
        <v>5</v>
      </c>
      <c r="C161" s="31" t="str">
        <f>'1 - Mix Reference'!C6</f>
        <v>4M</v>
      </c>
      <c r="D161" s="32" t="str">
        <f>IF(COUNT('2 - Raw Data Entry'!N8:N10)=0,"Data pending",AVERAGE('2 - Raw Data Entry'!N8:N10))</f>
        <v>Data pending</v>
      </c>
      <c r="E161" s="32" t="str">
        <f>IF(COUNT('2 - Raw Data Entry'!N44:N46)=0,"Data pending",AVERAGE('2 - Raw Data Entry'!N44:N46))</f>
        <v>Data pending</v>
      </c>
      <c r="F161" s="32" t="str">
        <f>IF(COUNT('2 - Raw Data Entry'!N80:N82)=0,"Data pending",AVERAGE('2 - Raw Data Entry'!N80:N82))</f>
        <v>Data pending</v>
      </c>
      <c r="G161" s="32" t="str">
        <f>IF(COUNT('2 - Raw Data Entry'!N116:N118)=0,"Data pending",AVERAGE('2 - Raw Data Entry'!N116:N118))</f>
        <v>Data pending</v>
      </c>
    </row>
    <row r="162" spans="1:7" x14ac:dyDescent="0.25">
      <c r="A162" s="31" t="s">
        <v>55</v>
      </c>
      <c r="B162" s="31">
        <f>'1 - Mix Reference'!B7</f>
        <v>10</v>
      </c>
      <c r="C162" s="31" t="str">
        <f>'1 - Mix Reference'!C7</f>
        <v>4M</v>
      </c>
      <c r="D162" s="32" t="str">
        <f>IF(COUNT('2 - Raw Data Entry'!N11:N13)=0,"Data pending",AVERAGE('2 - Raw Data Entry'!N11:N13))</f>
        <v>Data pending</v>
      </c>
      <c r="E162" s="32" t="str">
        <f>IF(COUNT('2 - Raw Data Entry'!N47:N49)=0,"Data pending",AVERAGE('2 - Raw Data Entry'!N47:N49))</f>
        <v>Data pending</v>
      </c>
      <c r="F162" s="32" t="str">
        <f>IF(COUNT('2 - Raw Data Entry'!N83:N85)=0,"Data pending",AVERAGE('2 - Raw Data Entry'!N83:N85))</f>
        <v>Data pending</v>
      </c>
      <c r="G162" s="32" t="str">
        <f>IF(COUNT('2 - Raw Data Entry'!N119:N121)=0,"Data pending",AVERAGE('2 - Raw Data Entry'!N119:N121))</f>
        <v>Data pending</v>
      </c>
    </row>
    <row r="163" spans="1:7" x14ac:dyDescent="0.25">
      <c r="A163" s="31" t="s">
        <v>57</v>
      </c>
      <c r="B163" s="31">
        <f>'1 - Mix Reference'!B8</f>
        <v>15</v>
      </c>
      <c r="C163" s="31" t="str">
        <f>'1 - Mix Reference'!C8</f>
        <v>4M</v>
      </c>
      <c r="D163" s="32" t="str">
        <f>IF(COUNT('2 - Raw Data Entry'!N14:N16)=0,"Data pending",AVERAGE('2 - Raw Data Entry'!N14:N16))</f>
        <v>Data pending</v>
      </c>
      <c r="E163" s="32" t="str">
        <f>IF(COUNT('2 - Raw Data Entry'!N50:N52)=0,"Data pending",AVERAGE('2 - Raw Data Entry'!N50:N52))</f>
        <v>Data pending</v>
      </c>
      <c r="F163" s="32" t="str">
        <f>IF(COUNT('2 - Raw Data Entry'!N86:N88)=0,"Data pending",AVERAGE('2 - Raw Data Entry'!N86:N88))</f>
        <v>Data pending</v>
      </c>
      <c r="G163" s="32" t="str">
        <f>IF(COUNT('2 - Raw Data Entry'!N122:N124)=0,"Data pending",AVERAGE('2 - Raw Data Entry'!N122:N124))</f>
        <v>Data pending</v>
      </c>
    </row>
    <row r="164" spans="1:7" x14ac:dyDescent="0.25">
      <c r="A164" s="31" t="s">
        <v>59</v>
      </c>
      <c r="B164" s="31">
        <f>'1 - Mix Reference'!B9</f>
        <v>20</v>
      </c>
      <c r="C164" s="31" t="str">
        <f>'1 - Mix Reference'!C9</f>
        <v>4M</v>
      </c>
      <c r="D164" s="32" t="str">
        <f>IF(COUNT('2 - Raw Data Entry'!N17:N19)=0,"Data pending",AVERAGE('2 - Raw Data Entry'!N17:N19))</f>
        <v>Data pending</v>
      </c>
      <c r="E164" s="32" t="str">
        <f>IF(COUNT('2 - Raw Data Entry'!N53:N55)=0,"Data pending",AVERAGE('2 - Raw Data Entry'!N53:N55))</f>
        <v>Data pending</v>
      </c>
      <c r="F164" s="32" t="str">
        <f>IF(COUNT('2 - Raw Data Entry'!N89:N91)=0,"Data pending",AVERAGE('2 - Raw Data Entry'!N89:N91))</f>
        <v>Data pending</v>
      </c>
      <c r="G164" s="32" t="str">
        <f>IF(COUNT('2 - Raw Data Entry'!N125:N127)=0,"Data pending",AVERAGE('2 - Raw Data Entry'!N125:N127))</f>
        <v>Data pending</v>
      </c>
    </row>
    <row r="165" spans="1:7" x14ac:dyDescent="0.25">
      <c r="A165" s="31" t="s">
        <v>61</v>
      </c>
      <c r="B165" s="31">
        <f>'1 - Mix Reference'!B10</f>
        <v>25</v>
      </c>
      <c r="C165" s="31" t="str">
        <f>'1 - Mix Reference'!C10</f>
        <v>4M</v>
      </c>
      <c r="D165" s="32" t="str">
        <f>IF(COUNT('2 - Raw Data Entry'!N20:N22)=0,"Data pending",AVERAGE('2 - Raw Data Entry'!N20:N22))</f>
        <v>Data pending</v>
      </c>
      <c r="E165" s="32" t="str">
        <f>IF(COUNT('2 - Raw Data Entry'!N56:N58)=0,"Data pending",AVERAGE('2 - Raw Data Entry'!N56:N58))</f>
        <v>Data pending</v>
      </c>
      <c r="F165" s="32" t="str">
        <f>IF(COUNT('2 - Raw Data Entry'!N92:N94)=0,"Data pending",AVERAGE('2 - Raw Data Entry'!N92:N94))</f>
        <v>Data pending</v>
      </c>
      <c r="G165" s="32" t="str">
        <f>IF(COUNT('2 - Raw Data Entry'!N128:N130)=0,"Data pending",AVERAGE('2 - Raw Data Entry'!N128:N130))</f>
        <v>Data pending</v>
      </c>
    </row>
    <row r="166" spans="1:7" x14ac:dyDescent="0.25">
      <c r="A166" s="31" t="s">
        <v>63</v>
      </c>
      <c r="B166" s="31">
        <f>'1 - Mix Reference'!B11</f>
        <v>0</v>
      </c>
      <c r="C166" s="31" t="str">
        <f>'1 - Mix Reference'!C11</f>
        <v>6M</v>
      </c>
      <c r="D166" s="32" t="str">
        <f>IF(COUNT('2 - Raw Data Entry'!N23:N25)=0,"Data pending",AVERAGE('2 - Raw Data Entry'!N23:N25))</f>
        <v>Data pending</v>
      </c>
      <c r="E166" s="32" t="str">
        <f>IF(COUNT('2 - Raw Data Entry'!N59:N61)=0,"Data pending",AVERAGE('2 - Raw Data Entry'!N59:N61))</f>
        <v>Data pending</v>
      </c>
      <c r="F166" s="32" t="str">
        <f>IF(COUNT('2 - Raw Data Entry'!N95:N97)=0,"Data pending",AVERAGE('2 - Raw Data Entry'!N95:N97))</f>
        <v>Data pending</v>
      </c>
      <c r="G166" s="32" t="str">
        <f>IF(COUNT('2 - Raw Data Entry'!N131:N133)=0,"Data pending",AVERAGE('2 - Raw Data Entry'!N131:N133))</f>
        <v>Data pending</v>
      </c>
    </row>
    <row r="167" spans="1:7" x14ac:dyDescent="0.25">
      <c r="A167" s="31" t="s">
        <v>67</v>
      </c>
      <c r="B167" s="31">
        <f>'1 - Mix Reference'!B12</f>
        <v>5</v>
      </c>
      <c r="C167" s="31" t="str">
        <f>'1 - Mix Reference'!C12</f>
        <v>6M</v>
      </c>
      <c r="D167" s="32" t="str">
        <f>IF(COUNT('2 - Raw Data Entry'!N26:N28)=0,"Data pending",AVERAGE('2 - Raw Data Entry'!N26:N28))</f>
        <v>Data pending</v>
      </c>
      <c r="E167" s="32" t="str">
        <f>IF(COUNT('2 - Raw Data Entry'!N62:N64)=0,"Data pending",AVERAGE('2 - Raw Data Entry'!N62:N64))</f>
        <v>Data pending</v>
      </c>
      <c r="F167" s="32" t="str">
        <f>IF(COUNT('2 - Raw Data Entry'!N98:N100)=0,"Data pending",AVERAGE('2 - Raw Data Entry'!N98:N100))</f>
        <v>Data pending</v>
      </c>
      <c r="G167" s="32" t="str">
        <f>IF(COUNT('2 - Raw Data Entry'!N134:N136)=0,"Data pending",AVERAGE('2 - Raw Data Entry'!N134:N136))</f>
        <v>Data pending</v>
      </c>
    </row>
    <row r="168" spans="1:7" x14ac:dyDescent="0.25">
      <c r="A168" s="31" t="s">
        <v>69</v>
      </c>
      <c r="B168" s="31">
        <f>'1 - Mix Reference'!B13</f>
        <v>10</v>
      </c>
      <c r="C168" s="31" t="str">
        <f>'1 - Mix Reference'!C13</f>
        <v>6M</v>
      </c>
      <c r="D168" s="32" t="str">
        <f>IF(COUNT('2 - Raw Data Entry'!N29:N31)=0,"Data pending",AVERAGE('2 - Raw Data Entry'!N29:N31))</f>
        <v>Data pending</v>
      </c>
      <c r="E168" s="32" t="str">
        <f>IF(COUNT('2 - Raw Data Entry'!N65:N67)=0,"Data pending",AVERAGE('2 - Raw Data Entry'!N65:N67))</f>
        <v>Data pending</v>
      </c>
      <c r="F168" s="32" t="str">
        <f>IF(COUNT('2 - Raw Data Entry'!N101:N103)=0,"Data pending",AVERAGE('2 - Raw Data Entry'!N101:N103))</f>
        <v>Data pending</v>
      </c>
      <c r="G168" s="32" t="str">
        <f>IF(COUNT('2 - Raw Data Entry'!N137:N139)=0,"Data pending",AVERAGE('2 - Raw Data Entry'!N137:N139))</f>
        <v>Data pending</v>
      </c>
    </row>
    <row r="169" spans="1:7" x14ac:dyDescent="0.25">
      <c r="A169" s="31" t="s">
        <v>70</v>
      </c>
      <c r="B169" s="31">
        <f>'1 - Mix Reference'!B14</f>
        <v>15</v>
      </c>
      <c r="C169" s="31" t="str">
        <f>'1 - Mix Reference'!C14</f>
        <v>6M</v>
      </c>
      <c r="D169" s="32" t="str">
        <f>IF(COUNT('2 - Raw Data Entry'!N32:N34)=0,"Data pending",AVERAGE('2 - Raw Data Entry'!N32:N34))</f>
        <v>Data pending</v>
      </c>
      <c r="E169" s="32" t="str">
        <f>IF(COUNT('2 - Raw Data Entry'!N68:N70)=0,"Data pending",AVERAGE('2 - Raw Data Entry'!N68:N70))</f>
        <v>Data pending</v>
      </c>
      <c r="F169" s="32" t="str">
        <f>IF(COUNT('2 - Raw Data Entry'!N104:N106)=0,"Data pending",AVERAGE('2 - Raw Data Entry'!N104:N106))</f>
        <v>Data pending</v>
      </c>
      <c r="G169" s="32" t="str">
        <f>IF(COUNT('2 - Raw Data Entry'!N140:N142)=0,"Data pending",AVERAGE('2 - Raw Data Entry'!N140:N142))</f>
        <v>Data pending</v>
      </c>
    </row>
    <row r="170" spans="1:7" x14ac:dyDescent="0.25">
      <c r="A170" s="31" t="s">
        <v>73</v>
      </c>
      <c r="B170" s="31">
        <f>'1 - Mix Reference'!B15</f>
        <v>20</v>
      </c>
      <c r="C170" s="31" t="str">
        <f>'1 - Mix Reference'!C15</f>
        <v>6M</v>
      </c>
      <c r="D170" s="32" t="str">
        <f>IF(COUNT('2 - Raw Data Entry'!N35:N37)=0,"Data pending",AVERAGE('2 - Raw Data Entry'!N35:N37))</f>
        <v>Data pending</v>
      </c>
      <c r="E170" s="32" t="str">
        <f>IF(COUNT('2 - Raw Data Entry'!N71:N73)=0,"Data pending",AVERAGE('2 - Raw Data Entry'!N71:N73))</f>
        <v>Data pending</v>
      </c>
      <c r="F170" s="32" t="str">
        <f>IF(COUNT('2 - Raw Data Entry'!N107:N109)=0,"Data pending",AVERAGE('2 - Raw Data Entry'!N107:N109))</f>
        <v>Data pending</v>
      </c>
      <c r="G170" s="32" t="str">
        <f>IF(COUNT('2 - Raw Data Entry'!N143:N145)=0,"Data pending",AVERAGE('2 - Raw Data Entry'!N143:N145))</f>
        <v>Data pending</v>
      </c>
    </row>
    <row r="171" spans="1:7" x14ac:dyDescent="0.25">
      <c r="A171" s="31" t="s">
        <v>74</v>
      </c>
      <c r="B171" s="31">
        <f>'1 - Mix Reference'!B16</f>
        <v>25</v>
      </c>
      <c r="C171" s="31" t="str">
        <f>'1 - Mix Reference'!C16</f>
        <v>6M</v>
      </c>
      <c r="D171" s="32" t="str">
        <f>IF(COUNT('2 - Raw Data Entry'!N38:N40)=0,"Data pending",AVERAGE('2 - Raw Data Entry'!N38:N40))</f>
        <v>Data pending</v>
      </c>
      <c r="E171" s="32" t="str">
        <f>IF(COUNT('2 - Raw Data Entry'!N74:N76)=0,"Data pending",AVERAGE('2 - Raw Data Entry'!N74:N76))</f>
        <v>Data pending</v>
      </c>
      <c r="F171" s="32" t="str">
        <f>IF(COUNT('2 - Raw Data Entry'!N110:N112)=0,"Data pending",AVERAGE('2 - Raw Data Entry'!N110:N112))</f>
        <v>Data pending</v>
      </c>
      <c r="G171" s="32" t="str">
        <f>IF(COUNT('2 - Raw Data Entry'!N146:N148)=0,"Data pending",AVERAGE('2 - Raw Data Entry'!N146:N148))</f>
        <v>Data pending</v>
      </c>
    </row>
    <row r="173" spans="1:7" x14ac:dyDescent="0.25">
      <c r="A173" s="29" t="s">
        <v>113</v>
      </c>
    </row>
    <row r="174" spans="1:7" x14ac:dyDescent="0.25">
      <c r="A174" s="30" t="s">
        <v>39</v>
      </c>
      <c r="B174" s="30" t="s">
        <v>40</v>
      </c>
      <c r="C174" s="30" t="s">
        <v>41</v>
      </c>
      <c r="D174" s="30" t="s">
        <v>114</v>
      </c>
    </row>
    <row r="175" spans="1:7" x14ac:dyDescent="0.25">
      <c r="A175" s="31" t="s">
        <v>48</v>
      </c>
      <c r="B175" s="31">
        <f>'1 - Mix Reference'!B5</f>
        <v>0</v>
      </c>
      <c r="C175" s="31" t="str">
        <f>'1 - Mix Reference'!C5</f>
        <v>4M</v>
      </c>
      <c r="D175" s="33" t="str">
        <f>IF('1 - Mix Reference'!I5="","Data pending",'1 - Mix Reference'!I5)</f>
        <v>Data pending</v>
      </c>
    </row>
    <row r="176" spans="1:7" x14ac:dyDescent="0.25">
      <c r="A176" s="31" t="s">
        <v>52</v>
      </c>
      <c r="B176" s="31">
        <f>'1 - Mix Reference'!B6</f>
        <v>5</v>
      </c>
      <c r="C176" s="31" t="str">
        <f>'1 - Mix Reference'!C6</f>
        <v>4M</v>
      </c>
      <c r="D176" s="33" t="str">
        <f>IF('1 - Mix Reference'!I6="","Data pending",'1 - Mix Reference'!I6)</f>
        <v>Data pending</v>
      </c>
    </row>
    <row r="177" spans="1:13" x14ac:dyDescent="0.25">
      <c r="A177" s="31" t="s">
        <v>55</v>
      </c>
      <c r="B177" s="31">
        <f>'1 - Mix Reference'!B7</f>
        <v>10</v>
      </c>
      <c r="C177" s="31" t="str">
        <f>'1 - Mix Reference'!C7</f>
        <v>4M</v>
      </c>
      <c r="D177" s="33" t="str">
        <f>IF('1 - Mix Reference'!I7="","Data pending",'1 - Mix Reference'!I7)</f>
        <v>Data pending</v>
      </c>
    </row>
    <row r="178" spans="1:13" x14ac:dyDescent="0.25">
      <c r="A178" s="31" t="s">
        <v>57</v>
      </c>
      <c r="B178" s="31">
        <f>'1 - Mix Reference'!B8</f>
        <v>15</v>
      </c>
      <c r="C178" s="31" t="str">
        <f>'1 - Mix Reference'!C8</f>
        <v>4M</v>
      </c>
      <c r="D178" s="33" t="str">
        <f>IF('1 - Mix Reference'!I8="","Data pending",'1 - Mix Reference'!I8)</f>
        <v>Data pending</v>
      </c>
    </row>
    <row r="179" spans="1:13" x14ac:dyDescent="0.25">
      <c r="A179" s="31" t="s">
        <v>59</v>
      </c>
      <c r="B179" s="31">
        <f>'1 - Mix Reference'!B9</f>
        <v>20</v>
      </c>
      <c r="C179" s="31" t="str">
        <f>'1 - Mix Reference'!C9</f>
        <v>4M</v>
      </c>
      <c r="D179" s="33" t="str">
        <f>IF('1 - Mix Reference'!I9="","Data pending",'1 - Mix Reference'!I9)</f>
        <v>Data pending</v>
      </c>
    </row>
    <row r="180" spans="1:13" x14ac:dyDescent="0.25">
      <c r="A180" s="31" t="s">
        <v>61</v>
      </c>
      <c r="B180" s="31">
        <f>'1 - Mix Reference'!B10</f>
        <v>25</v>
      </c>
      <c r="C180" s="31" t="str">
        <f>'1 - Mix Reference'!C10</f>
        <v>4M</v>
      </c>
      <c r="D180" s="33" t="str">
        <f>IF('1 - Mix Reference'!I10="","Data pending",'1 - Mix Reference'!I10)</f>
        <v>Data pending</v>
      </c>
    </row>
    <row r="181" spans="1:13" x14ac:dyDescent="0.25">
      <c r="A181" s="31" t="s">
        <v>63</v>
      </c>
      <c r="B181" s="31">
        <f>'1 - Mix Reference'!B11</f>
        <v>0</v>
      </c>
      <c r="C181" s="31" t="str">
        <f>'1 - Mix Reference'!C11</f>
        <v>6M</v>
      </c>
      <c r="D181" s="33" t="str">
        <f>IF('1 - Mix Reference'!I11="","Data pending",'1 - Mix Reference'!I11)</f>
        <v>Data pending</v>
      </c>
    </row>
    <row r="182" spans="1:13" x14ac:dyDescent="0.25">
      <c r="A182" s="31" t="s">
        <v>67</v>
      </c>
      <c r="B182" s="31">
        <f>'1 - Mix Reference'!B12</f>
        <v>5</v>
      </c>
      <c r="C182" s="31" t="str">
        <f>'1 - Mix Reference'!C12</f>
        <v>6M</v>
      </c>
      <c r="D182" s="33" t="str">
        <f>IF('1 - Mix Reference'!I12="","Data pending",'1 - Mix Reference'!I12)</f>
        <v>Data pending</v>
      </c>
    </row>
    <row r="183" spans="1:13" x14ac:dyDescent="0.25">
      <c r="A183" s="31" t="s">
        <v>69</v>
      </c>
      <c r="B183" s="31">
        <f>'1 - Mix Reference'!B13</f>
        <v>10</v>
      </c>
      <c r="C183" s="31" t="str">
        <f>'1 - Mix Reference'!C13</f>
        <v>6M</v>
      </c>
      <c r="D183" s="33" t="str">
        <f>IF('1 - Mix Reference'!I13="","Data pending",'1 - Mix Reference'!I13)</f>
        <v>Data pending</v>
      </c>
    </row>
    <row r="184" spans="1:13" x14ac:dyDescent="0.25">
      <c r="A184" s="31" t="s">
        <v>70</v>
      </c>
      <c r="B184" s="31">
        <f>'1 - Mix Reference'!B14</f>
        <v>15</v>
      </c>
      <c r="C184" s="31" t="str">
        <f>'1 - Mix Reference'!C14</f>
        <v>6M</v>
      </c>
      <c r="D184" s="33" t="str">
        <f>IF('1 - Mix Reference'!I14="","Data pending",'1 - Mix Reference'!I14)</f>
        <v>Data pending</v>
      </c>
    </row>
    <row r="185" spans="1:13" x14ac:dyDescent="0.25">
      <c r="A185" s="31" t="s">
        <v>73</v>
      </c>
      <c r="B185" s="31">
        <f>'1 - Mix Reference'!B15</f>
        <v>20</v>
      </c>
      <c r="C185" s="31" t="str">
        <f>'1 - Mix Reference'!C15</f>
        <v>6M</v>
      </c>
      <c r="D185" s="33" t="str">
        <f>IF('1 - Mix Reference'!I15="","Data pending",'1 - Mix Reference'!I15)</f>
        <v>Data pending</v>
      </c>
    </row>
    <row r="186" spans="1:13" x14ac:dyDescent="0.25">
      <c r="A186" s="31" t="s">
        <v>74</v>
      </c>
      <c r="B186" s="31">
        <f>'1 - Mix Reference'!B16</f>
        <v>25</v>
      </c>
      <c r="C186" s="31" t="str">
        <f>'1 - Mix Reference'!C16</f>
        <v>6M</v>
      </c>
      <c r="D186" s="33" t="str">
        <f>IF('1 - Mix Reference'!I16="","Data pending",'1 - Mix Reference'!I16)</f>
        <v>Data pending</v>
      </c>
    </row>
    <row r="188" spans="1:13" x14ac:dyDescent="0.25">
      <c r="A188" s="29" t="s">
        <v>115</v>
      </c>
    </row>
    <row r="189" spans="1:13" ht="25.5" customHeight="1" x14ac:dyDescent="0.25">
      <c r="A189" s="34" t="s">
        <v>83</v>
      </c>
      <c r="B189" s="34" t="s">
        <v>116</v>
      </c>
      <c r="C189" s="34" t="s">
        <v>117</v>
      </c>
      <c r="D189" s="34" t="s">
        <v>118</v>
      </c>
      <c r="E189" s="34" t="s">
        <v>119</v>
      </c>
      <c r="F189" s="34" t="s">
        <v>120</v>
      </c>
      <c r="G189" s="34" t="s">
        <v>121</v>
      </c>
      <c r="H189" s="34" t="s">
        <v>122</v>
      </c>
      <c r="I189" s="34" t="s">
        <v>123</v>
      </c>
      <c r="J189" s="34" t="s">
        <v>124</v>
      </c>
      <c r="K189" s="34" t="s">
        <v>125</v>
      </c>
      <c r="L189" s="34" t="s">
        <v>126</v>
      </c>
      <c r="M189" s="34" t="s">
        <v>127</v>
      </c>
    </row>
    <row r="190" spans="1:13" x14ac:dyDescent="0.25">
      <c r="A190" s="35" t="s">
        <v>128</v>
      </c>
      <c r="B190" s="32">
        <v>100</v>
      </c>
      <c r="C190" s="32">
        <v>100</v>
      </c>
      <c r="D190" s="32">
        <v>100</v>
      </c>
      <c r="E190" s="32">
        <v>100</v>
      </c>
      <c r="F190" s="32">
        <v>100</v>
      </c>
      <c r="G190" s="32">
        <v>100</v>
      </c>
      <c r="H190" s="32">
        <v>100</v>
      </c>
      <c r="I190" s="32">
        <v>100</v>
      </c>
      <c r="J190" s="32">
        <v>100</v>
      </c>
      <c r="K190" s="32">
        <v>100</v>
      </c>
      <c r="L190" s="32">
        <v>100</v>
      </c>
      <c r="M190" s="32">
        <v>100</v>
      </c>
    </row>
    <row r="191" spans="1:13" x14ac:dyDescent="0.25">
      <c r="A191" s="35" t="s">
        <v>107</v>
      </c>
      <c r="B191" s="32" t="e">
        <f>IF(ISNUMBER(D130),D130,NA())</f>
        <v>#N/A</v>
      </c>
      <c r="C191" s="32" t="e">
        <f>IF(ISNUMBER(D131),D131,NA())</f>
        <v>#N/A</v>
      </c>
      <c r="D191" s="32" t="e">
        <f>IF(ISNUMBER(D132),D132,NA())</f>
        <v>#N/A</v>
      </c>
      <c r="E191" s="32" t="e">
        <f>IF(ISNUMBER(D133),D133,NA())</f>
        <v>#N/A</v>
      </c>
      <c r="F191" s="32" t="e">
        <f>IF(ISNUMBER(D134),D134,NA())</f>
        <v>#N/A</v>
      </c>
      <c r="G191" s="32" t="e">
        <f>IF(ISNUMBER(D135),D135,NA())</f>
        <v>#N/A</v>
      </c>
      <c r="H191" s="32" t="e">
        <f>IF(ISNUMBER(D136),D136,NA())</f>
        <v>#N/A</v>
      </c>
      <c r="I191" s="32" t="e">
        <f>IF(ISNUMBER(D137),D137,NA())</f>
        <v>#N/A</v>
      </c>
      <c r="J191" s="32" t="e">
        <f>IF(ISNUMBER(D138),D138,NA())</f>
        <v>#N/A</v>
      </c>
      <c r="K191" s="32" t="e">
        <f>IF(ISNUMBER(D139),D139,NA())</f>
        <v>#N/A</v>
      </c>
      <c r="L191" s="32" t="e">
        <f>IF(ISNUMBER(D140),D140,NA())</f>
        <v>#N/A</v>
      </c>
      <c r="M191" s="32" t="e">
        <f>IF(ISNUMBER(D141),D141,NA())</f>
        <v>#N/A</v>
      </c>
    </row>
    <row r="192" spans="1:13" x14ac:dyDescent="0.25">
      <c r="A192" s="35" t="s">
        <v>108</v>
      </c>
      <c r="B192" s="32" t="e">
        <f>IF(ISNUMBER(E130),E130,NA())</f>
        <v>#N/A</v>
      </c>
      <c r="C192" s="32" t="e">
        <f>IF(ISNUMBER(E131),E131,NA())</f>
        <v>#N/A</v>
      </c>
      <c r="D192" s="32" t="e">
        <f>IF(ISNUMBER(E132),E132,NA())</f>
        <v>#N/A</v>
      </c>
      <c r="E192" s="32" t="e">
        <f>IF(ISNUMBER(E133),E133,NA())</f>
        <v>#N/A</v>
      </c>
      <c r="F192" s="32" t="e">
        <f>IF(ISNUMBER(E134),E134,NA())</f>
        <v>#N/A</v>
      </c>
      <c r="G192" s="32" t="e">
        <f>IF(ISNUMBER(E135),E135,NA())</f>
        <v>#N/A</v>
      </c>
      <c r="H192" s="32" t="e">
        <f>IF(ISNUMBER(E136),E136,NA())</f>
        <v>#N/A</v>
      </c>
      <c r="I192" s="32" t="e">
        <f>IF(ISNUMBER(E137),E137,NA())</f>
        <v>#N/A</v>
      </c>
      <c r="J192" s="32" t="e">
        <f>IF(ISNUMBER(E138),E138,NA())</f>
        <v>#N/A</v>
      </c>
      <c r="K192" s="32" t="e">
        <f>IF(ISNUMBER(E139),E139,NA())</f>
        <v>#N/A</v>
      </c>
      <c r="L192" s="32" t="e">
        <f>IF(ISNUMBER(E140),E140,NA())</f>
        <v>#N/A</v>
      </c>
      <c r="M192" s="32" t="e">
        <f>IF(ISNUMBER(E141),E141,NA())</f>
        <v>#N/A</v>
      </c>
    </row>
    <row r="193" spans="1:13" x14ac:dyDescent="0.25">
      <c r="A193" s="35" t="s">
        <v>109</v>
      </c>
      <c r="B193" s="32" t="e">
        <f>IF(ISNUMBER(F130),F130,NA())</f>
        <v>#N/A</v>
      </c>
      <c r="C193" s="32" t="e">
        <f>IF(ISNUMBER(F131),F131,NA())</f>
        <v>#N/A</v>
      </c>
      <c r="D193" s="32" t="e">
        <f>IF(ISNUMBER(F132),F132,NA())</f>
        <v>#N/A</v>
      </c>
      <c r="E193" s="32" t="e">
        <f>IF(ISNUMBER(F133),F133,NA())</f>
        <v>#N/A</v>
      </c>
      <c r="F193" s="32" t="e">
        <f>IF(ISNUMBER(F134),F134,NA())</f>
        <v>#N/A</v>
      </c>
      <c r="G193" s="32" t="e">
        <f>IF(ISNUMBER(F135),F135,NA())</f>
        <v>#N/A</v>
      </c>
      <c r="H193" s="32" t="e">
        <f>IF(ISNUMBER(F136),F136,NA())</f>
        <v>#N/A</v>
      </c>
      <c r="I193" s="32" t="e">
        <f>IF(ISNUMBER(F137),F137,NA())</f>
        <v>#N/A</v>
      </c>
      <c r="J193" s="32" t="e">
        <f>IF(ISNUMBER(F138),F138,NA())</f>
        <v>#N/A</v>
      </c>
      <c r="K193" s="32" t="e">
        <f>IF(ISNUMBER(F139),F139,NA())</f>
        <v>#N/A</v>
      </c>
      <c r="L193" s="32" t="e">
        <f>IF(ISNUMBER(F140),F140,NA())</f>
        <v>#N/A</v>
      </c>
      <c r="M193" s="32" t="e">
        <f>IF(ISNUMBER(F141),F141,NA())</f>
        <v>#N/A</v>
      </c>
    </row>
    <row r="194" spans="1:13" x14ac:dyDescent="0.25">
      <c r="A194" s="35" t="s">
        <v>110</v>
      </c>
      <c r="B194" s="32" t="e">
        <f>IF(ISNUMBER(G130),G130,NA())</f>
        <v>#N/A</v>
      </c>
      <c r="C194" s="32" t="e">
        <f>IF(ISNUMBER(G131),G131,NA())</f>
        <v>#N/A</v>
      </c>
      <c r="D194" s="32" t="e">
        <f>IF(ISNUMBER(G132),G132,NA())</f>
        <v>#N/A</v>
      </c>
      <c r="E194" s="32" t="e">
        <f>IF(ISNUMBER(G133),G133,NA())</f>
        <v>#N/A</v>
      </c>
      <c r="F194" s="32" t="e">
        <f>IF(ISNUMBER(G134),G134,NA())</f>
        <v>#N/A</v>
      </c>
      <c r="G194" s="32" t="e">
        <f>IF(ISNUMBER(G135),G135,NA())</f>
        <v>#N/A</v>
      </c>
      <c r="H194" s="32" t="e">
        <f>IF(ISNUMBER(G136),G136,NA())</f>
        <v>#N/A</v>
      </c>
      <c r="I194" s="32" t="e">
        <f>IF(ISNUMBER(G137),G137,NA())</f>
        <v>#N/A</v>
      </c>
      <c r="J194" s="32" t="e">
        <f>IF(ISNUMBER(G138),G138,NA())</f>
        <v>#N/A</v>
      </c>
      <c r="K194" s="32" t="e">
        <f>IF(ISNUMBER(G139),G139,NA())</f>
        <v>#N/A</v>
      </c>
      <c r="L194" s="32" t="e">
        <f>IF(ISNUMBER(G140),G140,NA())</f>
        <v>#N/A</v>
      </c>
      <c r="M194" s="32" t="e">
        <f>IF(ISNUMBER(G141),G141,NA())</f>
        <v>#N/A</v>
      </c>
    </row>
    <row r="197" spans="1:13" x14ac:dyDescent="0.25">
      <c r="A197" s="29" t="s">
        <v>129</v>
      </c>
    </row>
    <row r="198" spans="1:13" ht="25.5" customHeight="1" x14ac:dyDescent="0.25">
      <c r="A198" s="34" t="s">
        <v>83</v>
      </c>
      <c r="B198" s="34" t="s">
        <v>116</v>
      </c>
      <c r="C198" s="34" t="s">
        <v>117</v>
      </c>
      <c r="D198" s="34" t="s">
        <v>118</v>
      </c>
      <c r="E198" s="34" t="s">
        <v>119</v>
      </c>
      <c r="F198" s="34" t="s">
        <v>120</v>
      </c>
      <c r="G198" s="34" t="s">
        <v>121</v>
      </c>
      <c r="H198" s="34" t="s">
        <v>122</v>
      </c>
      <c r="I198" s="34" t="s">
        <v>123</v>
      </c>
      <c r="J198" s="34" t="s">
        <v>124</v>
      </c>
      <c r="K198" s="34" t="s">
        <v>125</v>
      </c>
      <c r="L198" s="34" t="s">
        <v>126</v>
      </c>
      <c r="M198" s="34" t="s">
        <v>127</v>
      </c>
    </row>
    <row r="199" spans="1:13" x14ac:dyDescent="0.25">
      <c r="A199" s="35" t="s">
        <v>128</v>
      </c>
      <c r="B199" s="32">
        <v>0</v>
      </c>
      <c r="C199" s="32">
        <v>0</v>
      </c>
      <c r="D199" s="32">
        <v>0</v>
      </c>
      <c r="E199" s="32">
        <v>0</v>
      </c>
      <c r="F199" s="32">
        <v>0</v>
      </c>
      <c r="G199" s="32">
        <v>0</v>
      </c>
      <c r="H199" s="32">
        <v>0</v>
      </c>
      <c r="I199" s="32">
        <v>0</v>
      </c>
      <c r="J199" s="32">
        <v>0</v>
      </c>
      <c r="K199" s="32">
        <v>0</v>
      </c>
      <c r="L199" s="32">
        <v>0</v>
      </c>
      <c r="M199" s="32">
        <v>0</v>
      </c>
    </row>
    <row r="200" spans="1:13" x14ac:dyDescent="0.25">
      <c r="A200" s="35" t="s">
        <v>107</v>
      </c>
      <c r="B200" s="32" t="e">
        <f>IF(ISNUMBER(D145),D145,NA())</f>
        <v>#N/A</v>
      </c>
      <c r="C200" s="32" t="e">
        <f>IF(ISNUMBER(D146),D146,NA())</f>
        <v>#N/A</v>
      </c>
      <c r="D200" s="32" t="e">
        <f>IF(ISNUMBER(D147),D147,NA())</f>
        <v>#N/A</v>
      </c>
      <c r="E200" s="32" t="e">
        <f>IF(ISNUMBER(D148),D148,NA())</f>
        <v>#N/A</v>
      </c>
      <c r="F200" s="32" t="e">
        <f>IF(ISNUMBER(D149),D149,NA())</f>
        <v>#N/A</v>
      </c>
      <c r="G200" s="32" t="e">
        <f>IF(ISNUMBER(D150),D150,NA())</f>
        <v>#N/A</v>
      </c>
      <c r="H200" s="32" t="e">
        <f>IF(ISNUMBER(D151),D151,NA())</f>
        <v>#N/A</v>
      </c>
      <c r="I200" s="32" t="e">
        <f>IF(ISNUMBER(D152),D152,NA())</f>
        <v>#N/A</v>
      </c>
      <c r="J200" s="32" t="e">
        <f>IF(ISNUMBER(D153),D153,NA())</f>
        <v>#N/A</v>
      </c>
      <c r="K200" s="32" t="e">
        <f>IF(ISNUMBER(D154),D154,NA())</f>
        <v>#N/A</v>
      </c>
      <c r="L200" s="32" t="e">
        <f>IF(ISNUMBER(D155),D155,NA())</f>
        <v>#N/A</v>
      </c>
      <c r="M200" s="32" t="e">
        <f>IF(ISNUMBER(D156),D156,NA())</f>
        <v>#N/A</v>
      </c>
    </row>
    <row r="201" spans="1:13" x14ac:dyDescent="0.25">
      <c r="A201" s="35" t="s">
        <v>108</v>
      </c>
      <c r="B201" s="32" t="e">
        <f>IF(ISNUMBER(E145),E145,NA())</f>
        <v>#N/A</v>
      </c>
      <c r="C201" s="32" t="e">
        <f>IF(ISNUMBER(E146),E146,NA())</f>
        <v>#N/A</v>
      </c>
      <c r="D201" s="32" t="e">
        <f>IF(ISNUMBER(E147),E147,NA())</f>
        <v>#N/A</v>
      </c>
      <c r="E201" s="32" t="e">
        <f>IF(ISNUMBER(E148),E148,NA())</f>
        <v>#N/A</v>
      </c>
      <c r="F201" s="32" t="e">
        <f>IF(ISNUMBER(E149),E149,NA())</f>
        <v>#N/A</v>
      </c>
      <c r="G201" s="32" t="e">
        <f>IF(ISNUMBER(E150),E150,NA())</f>
        <v>#N/A</v>
      </c>
      <c r="H201" s="32" t="e">
        <f>IF(ISNUMBER(E151),E151,NA())</f>
        <v>#N/A</v>
      </c>
      <c r="I201" s="32" t="e">
        <f>IF(ISNUMBER(E152),E152,NA())</f>
        <v>#N/A</v>
      </c>
      <c r="J201" s="32" t="e">
        <f>IF(ISNUMBER(E153),E153,NA())</f>
        <v>#N/A</v>
      </c>
      <c r="K201" s="32" t="e">
        <f>IF(ISNUMBER(E154),E154,NA())</f>
        <v>#N/A</v>
      </c>
      <c r="L201" s="32" t="e">
        <f>IF(ISNUMBER(E155),E155,NA())</f>
        <v>#N/A</v>
      </c>
      <c r="M201" s="32" t="e">
        <f>IF(ISNUMBER(E156),E156,NA())</f>
        <v>#N/A</v>
      </c>
    </row>
    <row r="202" spans="1:13" x14ac:dyDescent="0.25">
      <c r="A202" s="35" t="s">
        <v>109</v>
      </c>
      <c r="B202" s="32" t="e">
        <f>IF(ISNUMBER(F145),F145,NA())</f>
        <v>#N/A</v>
      </c>
      <c r="C202" s="32" t="e">
        <f>IF(ISNUMBER(F146),F146,NA())</f>
        <v>#N/A</v>
      </c>
      <c r="D202" s="32" t="e">
        <f>IF(ISNUMBER(F147),F147,NA())</f>
        <v>#N/A</v>
      </c>
      <c r="E202" s="32" t="e">
        <f>IF(ISNUMBER(F148),F148,NA())</f>
        <v>#N/A</v>
      </c>
      <c r="F202" s="32" t="e">
        <f>IF(ISNUMBER(F149),F149,NA())</f>
        <v>#N/A</v>
      </c>
      <c r="G202" s="32" t="e">
        <f>IF(ISNUMBER(F150),F150,NA())</f>
        <v>#N/A</v>
      </c>
      <c r="H202" s="32" t="e">
        <f>IF(ISNUMBER(F151),F151,NA())</f>
        <v>#N/A</v>
      </c>
      <c r="I202" s="32" t="e">
        <f>IF(ISNUMBER(F152),F152,NA())</f>
        <v>#N/A</v>
      </c>
      <c r="J202" s="32" t="e">
        <f>IF(ISNUMBER(F153),F153,NA())</f>
        <v>#N/A</v>
      </c>
      <c r="K202" s="32" t="e">
        <f>IF(ISNUMBER(F154),F154,NA())</f>
        <v>#N/A</v>
      </c>
      <c r="L202" s="32" t="e">
        <f>IF(ISNUMBER(F155),F155,NA())</f>
        <v>#N/A</v>
      </c>
      <c r="M202" s="32" t="e">
        <f>IF(ISNUMBER(F156),F156,NA())</f>
        <v>#N/A</v>
      </c>
    </row>
    <row r="203" spans="1:13" x14ac:dyDescent="0.25">
      <c r="A203" s="35" t="s">
        <v>110</v>
      </c>
      <c r="B203" s="32" t="e">
        <f>IF(ISNUMBER(G145),G145,NA())</f>
        <v>#N/A</v>
      </c>
      <c r="C203" s="32" t="e">
        <f>IF(ISNUMBER(G146),G146,NA())</f>
        <v>#N/A</v>
      </c>
      <c r="D203" s="32" t="e">
        <f>IF(ISNUMBER(G147),G147,NA())</f>
        <v>#N/A</v>
      </c>
      <c r="E203" s="32" t="e">
        <f>IF(ISNUMBER(G148),G148,NA())</f>
        <v>#N/A</v>
      </c>
      <c r="F203" s="32" t="e">
        <f>IF(ISNUMBER(G149),G149,NA())</f>
        <v>#N/A</v>
      </c>
      <c r="G203" s="32" t="e">
        <f>IF(ISNUMBER(G150),G150,NA())</f>
        <v>#N/A</v>
      </c>
      <c r="H203" s="32" t="e">
        <f>IF(ISNUMBER(G151),G151,NA())</f>
        <v>#N/A</v>
      </c>
      <c r="I203" s="32" t="e">
        <f>IF(ISNUMBER(G152),G152,NA())</f>
        <v>#N/A</v>
      </c>
      <c r="J203" s="32" t="e">
        <f>IF(ISNUMBER(G153),G153,NA())</f>
        <v>#N/A</v>
      </c>
      <c r="K203" s="32" t="e">
        <f>IF(ISNUMBER(G154),G154,NA())</f>
        <v>#N/A</v>
      </c>
      <c r="L203" s="32" t="e">
        <f>IF(ISNUMBER(G155),G155,NA())</f>
        <v>#N/A</v>
      </c>
      <c r="M203" s="32" t="e">
        <f>IF(ISNUMBER(G156),G156,NA())</f>
        <v>#N/A</v>
      </c>
    </row>
    <row r="206" spans="1:13" x14ac:dyDescent="0.25">
      <c r="A206" s="29" t="s">
        <v>130</v>
      </c>
    </row>
    <row r="207" spans="1:13" x14ac:dyDescent="0.25">
      <c r="A207" s="30" t="s">
        <v>40</v>
      </c>
      <c r="B207" s="30" t="s">
        <v>107</v>
      </c>
      <c r="C207" s="30" t="s">
        <v>108</v>
      </c>
      <c r="D207" s="30" t="s">
        <v>109</v>
      </c>
      <c r="E207" s="30" t="s">
        <v>110</v>
      </c>
    </row>
    <row r="208" spans="1:13" x14ac:dyDescent="0.25">
      <c r="A208" s="36">
        <v>0</v>
      </c>
      <c r="B208" s="32" t="e">
        <f t="shared" ref="B208:E213" si="0">IF(ISNUMBER(D130),D130,NA())</f>
        <v>#N/A</v>
      </c>
      <c r="C208" s="32" t="e">
        <f t="shared" si="0"/>
        <v>#N/A</v>
      </c>
      <c r="D208" s="32" t="e">
        <f t="shared" si="0"/>
        <v>#N/A</v>
      </c>
      <c r="E208" s="32" t="e">
        <f t="shared" si="0"/>
        <v>#N/A</v>
      </c>
    </row>
    <row r="209" spans="1:5" x14ac:dyDescent="0.25">
      <c r="A209" s="36">
        <v>5</v>
      </c>
      <c r="B209" s="32" t="e">
        <f t="shared" si="0"/>
        <v>#N/A</v>
      </c>
      <c r="C209" s="32" t="e">
        <f t="shared" si="0"/>
        <v>#N/A</v>
      </c>
      <c r="D209" s="32" t="e">
        <f t="shared" si="0"/>
        <v>#N/A</v>
      </c>
      <c r="E209" s="32" t="e">
        <f t="shared" si="0"/>
        <v>#N/A</v>
      </c>
    </row>
    <row r="210" spans="1:5" x14ac:dyDescent="0.25">
      <c r="A210" s="36">
        <v>10</v>
      </c>
      <c r="B210" s="32" t="e">
        <f t="shared" si="0"/>
        <v>#N/A</v>
      </c>
      <c r="C210" s="32" t="e">
        <f t="shared" si="0"/>
        <v>#N/A</v>
      </c>
      <c r="D210" s="32" t="e">
        <f t="shared" si="0"/>
        <v>#N/A</v>
      </c>
      <c r="E210" s="32" t="e">
        <f t="shared" si="0"/>
        <v>#N/A</v>
      </c>
    </row>
    <row r="211" spans="1:5" x14ac:dyDescent="0.25">
      <c r="A211" s="36">
        <v>15</v>
      </c>
      <c r="B211" s="32" t="e">
        <f t="shared" si="0"/>
        <v>#N/A</v>
      </c>
      <c r="C211" s="32" t="e">
        <f t="shared" si="0"/>
        <v>#N/A</v>
      </c>
      <c r="D211" s="32" t="e">
        <f t="shared" si="0"/>
        <v>#N/A</v>
      </c>
      <c r="E211" s="32" t="e">
        <f t="shared" si="0"/>
        <v>#N/A</v>
      </c>
    </row>
    <row r="212" spans="1:5" x14ac:dyDescent="0.25">
      <c r="A212" s="36">
        <v>20</v>
      </c>
      <c r="B212" s="32" t="e">
        <f t="shared" si="0"/>
        <v>#N/A</v>
      </c>
      <c r="C212" s="32" t="e">
        <f t="shared" si="0"/>
        <v>#N/A</v>
      </c>
      <c r="D212" s="32" t="e">
        <f t="shared" si="0"/>
        <v>#N/A</v>
      </c>
      <c r="E212" s="32" t="e">
        <f t="shared" si="0"/>
        <v>#N/A</v>
      </c>
    </row>
    <row r="213" spans="1:5" x14ac:dyDescent="0.25">
      <c r="A213" s="36">
        <v>25</v>
      </c>
      <c r="B213" s="32" t="e">
        <f t="shared" si="0"/>
        <v>#N/A</v>
      </c>
      <c r="C213" s="32" t="e">
        <f t="shared" si="0"/>
        <v>#N/A</v>
      </c>
      <c r="D213" s="32" t="e">
        <f t="shared" si="0"/>
        <v>#N/A</v>
      </c>
      <c r="E213" s="32" t="e">
        <f t="shared" si="0"/>
        <v>#N/A</v>
      </c>
    </row>
    <row r="215" spans="1:5" x14ac:dyDescent="0.25">
      <c r="A215" s="29" t="s">
        <v>131</v>
      </c>
    </row>
    <row r="216" spans="1:5" x14ac:dyDescent="0.25">
      <c r="A216" s="30" t="s">
        <v>40</v>
      </c>
      <c r="B216" s="30" t="s">
        <v>107</v>
      </c>
      <c r="C216" s="30" t="s">
        <v>108</v>
      </c>
      <c r="D216" s="30" t="s">
        <v>109</v>
      </c>
      <c r="E216" s="30" t="s">
        <v>110</v>
      </c>
    </row>
    <row r="217" spans="1:5" x14ac:dyDescent="0.25">
      <c r="A217" s="36">
        <v>0</v>
      </c>
      <c r="B217" s="32" t="e">
        <f t="shared" ref="B217:E222" si="1">IF(ISNUMBER(D136),D136,NA())</f>
        <v>#N/A</v>
      </c>
      <c r="C217" s="32" t="e">
        <f t="shared" si="1"/>
        <v>#N/A</v>
      </c>
      <c r="D217" s="32" t="e">
        <f t="shared" si="1"/>
        <v>#N/A</v>
      </c>
      <c r="E217" s="32" t="e">
        <f t="shared" si="1"/>
        <v>#N/A</v>
      </c>
    </row>
    <row r="218" spans="1:5" x14ac:dyDescent="0.25">
      <c r="A218" s="36">
        <v>5</v>
      </c>
      <c r="B218" s="32" t="e">
        <f t="shared" si="1"/>
        <v>#N/A</v>
      </c>
      <c r="C218" s="32" t="e">
        <f t="shared" si="1"/>
        <v>#N/A</v>
      </c>
      <c r="D218" s="32" t="e">
        <f t="shared" si="1"/>
        <v>#N/A</v>
      </c>
      <c r="E218" s="32" t="e">
        <f t="shared" si="1"/>
        <v>#N/A</v>
      </c>
    </row>
    <row r="219" spans="1:5" x14ac:dyDescent="0.25">
      <c r="A219" s="36">
        <v>10</v>
      </c>
      <c r="B219" s="32" t="e">
        <f t="shared" si="1"/>
        <v>#N/A</v>
      </c>
      <c r="C219" s="32" t="e">
        <f t="shared" si="1"/>
        <v>#N/A</v>
      </c>
      <c r="D219" s="32" t="e">
        <f t="shared" si="1"/>
        <v>#N/A</v>
      </c>
      <c r="E219" s="32" t="e">
        <f t="shared" si="1"/>
        <v>#N/A</v>
      </c>
    </row>
    <row r="220" spans="1:5" x14ac:dyDescent="0.25">
      <c r="A220" s="36">
        <v>15</v>
      </c>
      <c r="B220" s="32" t="e">
        <f t="shared" si="1"/>
        <v>#N/A</v>
      </c>
      <c r="C220" s="32" t="e">
        <f t="shared" si="1"/>
        <v>#N/A</v>
      </c>
      <c r="D220" s="32" t="e">
        <f t="shared" si="1"/>
        <v>#N/A</v>
      </c>
      <c r="E220" s="32" t="e">
        <f t="shared" si="1"/>
        <v>#N/A</v>
      </c>
    </row>
    <row r="221" spans="1:5" x14ac:dyDescent="0.25">
      <c r="A221" s="36">
        <v>20</v>
      </c>
      <c r="B221" s="32" t="e">
        <f t="shared" si="1"/>
        <v>#N/A</v>
      </c>
      <c r="C221" s="32" t="e">
        <f t="shared" si="1"/>
        <v>#N/A</v>
      </c>
      <c r="D221" s="32" t="e">
        <f t="shared" si="1"/>
        <v>#N/A</v>
      </c>
      <c r="E221" s="32" t="e">
        <f t="shared" si="1"/>
        <v>#N/A</v>
      </c>
    </row>
    <row r="222" spans="1:5" x14ac:dyDescent="0.25">
      <c r="A222" s="36">
        <v>25</v>
      </c>
      <c r="B222" s="32" t="e">
        <f t="shared" si="1"/>
        <v>#N/A</v>
      </c>
      <c r="C222" s="32" t="e">
        <f t="shared" si="1"/>
        <v>#N/A</v>
      </c>
      <c r="D222" s="32" t="e">
        <f t="shared" si="1"/>
        <v>#N/A</v>
      </c>
      <c r="E222" s="32" t="e">
        <f t="shared" si="1"/>
        <v>#N/A</v>
      </c>
    </row>
    <row r="224" spans="1:5" x14ac:dyDescent="0.25">
      <c r="A224" s="29" t="s">
        <v>132</v>
      </c>
    </row>
    <row r="225" spans="1:3" x14ac:dyDescent="0.25">
      <c r="A225" s="30" t="s">
        <v>83</v>
      </c>
      <c r="B225" s="30" t="s">
        <v>133</v>
      </c>
      <c r="C225" s="30" t="s">
        <v>134</v>
      </c>
    </row>
    <row r="226" spans="1:3" x14ac:dyDescent="0.25">
      <c r="A226" s="35" t="s">
        <v>107</v>
      </c>
      <c r="B226" s="32" t="e">
        <f>IF(COUNT(D130:D135)=6,AVERAGE(D130:D135),NA())</f>
        <v>#N/A</v>
      </c>
      <c r="C226" s="32" t="e">
        <f>IF(COUNT(D136:D141)=6,AVERAGE(D136:D141),NA())</f>
        <v>#N/A</v>
      </c>
    </row>
    <row r="227" spans="1:3" x14ac:dyDescent="0.25">
      <c r="A227" s="35" t="s">
        <v>108</v>
      </c>
      <c r="B227" s="32" t="e">
        <f>IF(COUNT(E130:E135)=6,AVERAGE(E130:E135),NA())</f>
        <v>#N/A</v>
      </c>
      <c r="C227" s="32" t="e">
        <f>IF(COUNT(E136:E141)=6,AVERAGE(E136:E141),NA())</f>
        <v>#N/A</v>
      </c>
    </row>
    <row r="228" spans="1:3" x14ac:dyDescent="0.25">
      <c r="A228" s="35" t="s">
        <v>109</v>
      </c>
      <c r="B228" s="32" t="e">
        <f>IF(COUNT(F130:F135)=6,AVERAGE(F130:F135),NA())</f>
        <v>#N/A</v>
      </c>
      <c r="C228" s="32" t="e">
        <f>IF(COUNT(F136:F141)=6,AVERAGE(F136:F141),NA())</f>
        <v>#N/A</v>
      </c>
    </row>
    <row r="229" spans="1:3" x14ac:dyDescent="0.25">
      <c r="A229" s="35" t="s">
        <v>110</v>
      </c>
      <c r="B229" s="32" t="e">
        <f>IF(COUNT(G130:G135)=6,AVERAGE(G130:G135),NA())</f>
        <v>#N/A</v>
      </c>
      <c r="C229" s="32" t="e">
        <f>IF(COUNT(G136:G141)=6,AVERAGE(G136:G141),NA())</f>
        <v>#N/A</v>
      </c>
    </row>
  </sheetData>
  <mergeCells count="1">
    <mergeCell ref="A1:O1"/>
  </mergeCells>
  <conditionalFormatting sqref="A128:M230">
    <cfRule type="expression" dxfId="0" priority="2">
      <formula>ISNA(A128)</formula>
    </cfRule>
  </conditionalFormatting>
  <pageMargins left="0.75" right="0.75" top="1" bottom="1" header="0.511811023622047" footer="0.511811023622047"/>
  <pageSetup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6"/>
  <sheetViews>
    <sheetView zoomScaleNormal="100" workbookViewId="0">
      <pane ySplit="4" topLeftCell="A5" activePane="bottomLeft" state="frozen"/>
      <selection pane="bottomLeft" activeCell="D21" sqref="D21"/>
    </sheetView>
  </sheetViews>
  <sheetFormatPr defaultColWidth="8.6640625" defaultRowHeight="13.8" x14ac:dyDescent="0.25"/>
  <cols>
    <col min="1" max="1" width="10" style="2" customWidth="1"/>
    <col min="2" max="2" width="18" style="2" customWidth="1"/>
    <col min="3" max="3" width="12" style="2" customWidth="1"/>
    <col min="4" max="7" width="20" style="2" customWidth="1"/>
    <col min="8" max="8" width="37.88671875" style="2" bestFit="1" customWidth="1"/>
    <col min="9" max="16384" width="8.6640625" style="2"/>
  </cols>
  <sheetData>
    <row r="1" spans="1:8" ht="17.399999999999999" x14ac:dyDescent="0.3">
      <c r="A1" s="50" t="s">
        <v>135</v>
      </c>
      <c r="B1" s="50"/>
      <c r="C1" s="50"/>
      <c r="D1" s="50"/>
      <c r="E1" s="50"/>
      <c r="F1" s="50"/>
      <c r="G1" s="50"/>
      <c r="H1" s="50"/>
    </row>
    <row r="2" spans="1:8" x14ac:dyDescent="0.25">
      <c r="A2" s="1" t="s">
        <v>136</v>
      </c>
    </row>
    <row r="4" spans="1:8" ht="27.75" customHeight="1" x14ac:dyDescent="0.25">
      <c r="A4" s="21" t="s">
        <v>39</v>
      </c>
      <c r="B4" s="21" t="s">
        <v>137</v>
      </c>
      <c r="C4" s="21" t="s">
        <v>40</v>
      </c>
      <c r="D4" s="21" t="s">
        <v>138</v>
      </c>
      <c r="E4" s="21" t="s">
        <v>139</v>
      </c>
      <c r="F4" s="21" t="s">
        <v>140</v>
      </c>
      <c r="G4" s="21" t="s">
        <v>141</v>
      </c>
      <c r="H4" s="21" t="s">
        <v>142</v>
      </c>
    </row>
    <row r="5" spans="1:8" x14ac:dyDescent="0.25">
      <c r="A5" s="22" t="s">
        <v>48</v>
      </c>
      <c r="B5" s="22" t="s">
        <v>143</v>
      </c>
      <c r="C5" s="22">
        <v>0</v>
      </c>
      <c r="D5" s="37" t="str">
        <f>IF(COUNT('2 - Raw Data Entry'!O5:O7)=0,"Data pending",AVERAGE('2 - Raw Data Entry'!O5:O7))</f>
        <v>Data pending</v>
      </c>
      <c r="E5" s="37" t="str">
        <f>IF(COUNT('2 - Raw Data Entry'!O41:O43)=0,"Data pending",AVERAGE('2 - Raw Data Entry'!O41:O43))</f>
        <v>Data pending</v>
      </c>
      <c r="F5" s="37" t="str">
        <f>IF(COUNT('2 - Raw Data Entry'!O77:O79)=0,"Data pending",AVERAGE('2 - Raw Data Entry'!O77:O79))</f>
        <v>Data pending</v>
      </c>
      <c r="G5" s="37" t="str">
        <f>IF(COUNT('2 - Raw Data Entry'!O113:O115)=0,"Data pending",AVERAGE('2 - Raw Data Entry'!O113:O115))</f>
        <v>Data pending</v>
      </c>
      <c r="H5" s="23" t="s">
        <v>51</v>
      </c>
    </row>
    <row r="6" spans="1:8" x14ac:dyDescent="0.25">
      <c r="A6" s="25" t="s">
        <v>52</v>
      </c>
      <c r="B6" s="25" t="s">
        <v>143</v>
      </c>
      <c r="C6" s="25">
        <v>5</v>
      </c>
      <c r="D6" s="38" t="str">
        <f>IF(COUNT('2 - Raw Data Entry'!O8:O10)=0,"Data pending",AVERAGE('2 - Raw Data Entry'!O8:O10))</f>
        <v>Data pending</v>
      </c>
      <c r="E6" s="38" t="str">
        <f>IF(COUNT('2 - Raw Data Entry'!O44:O46)=0,"Data pending",AVERAGE('2 - Raw Data Entry'!O44:O46))</f>
        <v>Data pending</v>
      </c>
      <c r="F6" s="38" t="str">
        <f>IF(COUNT('2 - Raw Data Entry'!O80:O82)=0,"Data pending",AVERAGE('2 - Raw Data Entry'!O80:O82))</f>
        <v>Data pending</v>
      </c>
      <c r="G6" s="38" t="str">
        <f>IF(COUNT('2 - Raw Data Entry'!O116:O118)=0,"Data pending",AVERAGE('2 - Raw Data Entry'!O116:O118))</f>
        <v>Data pending</v>
      </c>
      <c r="H6" s="26" t="s">
        <v>54</v>
      </c>
    </row>
    <row r="7" spans="1:8" x14ac:dyDescent="0.25">
      <c r="A7" s="22" t="s">
        <v>55</v>
      </c>
      <c r="B7" s="22" t="s">
        <v>143</v>
      </c>
      <c r="C7" s="22">
        <v>10</v>
      </c>
      <c r="D7" s="37" t="str">
        <f>IF(COUNT('2 - Raw Data Entry'!O11:O13)=0,"Data pending",AVERAGE('2 - Raw Data Entry'!O11:O13))</f>
        <v>Data pending</v>
      </c>
      <c r="E7" s="37" t="str">
        <f>IF(COUNT('2 - Raw Data Entry'!O47:O49)=0,"Data pending",AVERAGE('2 - Raw Data Entry'!O47:O49))</f>
        <v>Data pending</v>
      </c>
      <c r="F7" s="37" t="str">
        <f>IF(COUNT('2 - Raw Data Entry'!O83:O85)=0,"Data pending",AVERAGE('2 - Raw Data Entry'!O83:O85))</f>
        <v>Data pending</v>
      </c>
      <c r="G7" s="37" t="str">
        <f>IF(COUNT('2 - Raw Data Entry'!O119:O121)=0,"Data pending",AVERAGE('2 - Raw Data Entry'!O119:O121))</f>
        <v>Data pending</v>
      </c>
      <c r="H7" s="23" t="s">
        <v>56</v>
      </c>
    </row>
    <row r="8" spans="1:8" x14ac:dyDescent="0.25">
      <c r="A8" s="25" t="s">
        <v>57</v>
      </c>
      <c r="B8" s="25" t="s">
        <v>143</v>
      </c>
      <c r="C8" s="25">
        <v>15</v>
      </c>
      <c r="D8" s="38" t="str">
        <f>IF(COUNT('2 - Raw Data Entry'!O14:O16)=0,"Data pending",AVERAGE('2 - Raw Data Entry'!O14:O16))</f>
        <v>Data pending</v>
      </c>
      <c r="E8" s="38" t="str">
        <f>IF(COUNT('2 - Raw Data Entry'!O50:O52)=0,"Data pending",AVERAGE('2 - Raw Data Entry'!O50:O52))</f>
        <v>Data pending</v>
      </c>
      <c r="F8" s="38" t="str">
        <f>IF(COUNT('2 - Raw Data Entry'!O86:O88)=0,"Data pending",AVERAGE('2 - Raw Data Entry'!O86:O88))</f>
        <v>Data pending</v>
      </c>
      <c r="G8" s="38" t="str">
        <f>IF(COUNT('2 - Raw Data Entry'!O122:O124)=0,"Data pending",AVERAGE('2 - Raw Data Entry'!O122:O124))</f>
        <v>Data pending</v>
      </c>
      <c r="H8" s="26" t="s">
        <v>58</v>
      </c>
    </row>
    <row r="9" spans="1:8" x14ac:dyDescent="0.25">
      <c r="A9" s="22" t="s">
        <v>59</v>
      </c>
      <c r="B9" s="22" t="s">
        <v>143</v>
      </c>
      <c r="C9" s="22">
        <v>20</v>
      </c>
      <c r="D9" s="37" t="str">
        <f>IF(COUNT('2 - Raw Data Entry'!O17:O19)=0,"Data pending",AVERAGE('2 - Raw Data Entry'!O17:O19))</f>
        <v>Data pending</v>
      </c>
      <c r="E9" s="37" t="str">
        <f>IF(COUNT('2 - Raw Data Entry'!O53:O55)=0,"Data pending",AVERAGE('2 - Raw Data Entry'!O53:O55))</f>
        <v>Data pending</v>
      </c>
      <c r="F9" s="37" t="str">
        <f>IF(COUNT('2 - Raw Data Entry'!O89:O91)=0,"Data pending",AVERAGE('2 - Raw Data Entry'!O89:O91))</f>
        <v>Data pending</v>
      </c>
      <c r="G9" s="37" t="str">
        <f>IF(COUNT('2 - Raw Data Entry'!O125:O127)=0,"Data pending",AVERAGE('2 - Raw Data Entry'!O125:O127))</f>
        <v>Data pending</v>
      </c>
      <c r="H9" s="23" t="s">
        <v>60</v>
      </c>
    </row>
    <row r="10" spans="1:8" x14ac:dyDescent="0.25">
      <c r="A10" s="25" t="s">
        <v>61</v>
      </c>
      <c r="B10" s="25" t="s">
        <v>143</v>
      </c>
      <c r="C10" s="25">
        <v>25</v>
      </c>
      <c r="D10" s="38" t="str">
        <f>IF(COUNT('2 - Raw Data Entry'!O20:O22)=0,"Data pending",AVERAGE('2 - Raw Data Entry'!O20:O22))</f>
        <v>Data pending</v>
      </c>
      <c r="E10" s="38" t="str">
        <f>IF(COUNT('2 - Raw Data Entry'!O56:O58)=0,"Data pending",AVERAGE('2 - Raw Data Entry'!O56:O58))</f>
        <v>Data pending</v>
      </c>
      <c r="F10" s="38" t="str">
        <f>IF(COUNT('2 - Raw Data Entry'!O92:O94)=0,"Data pending",AVERAGE('2 - Raw Data Entry'!O92:O94))</f>
        <v>Data pending</v>
      </c>
      <c r="G10" s="38" t="str">
        <f>IF(COUNT('2 - Raw Data Entry'!O128:O130)=0,"Data pending",AVERAGE('2 - Raw Data Entry'!O128:O130))</f>
        <v>Data pending</v>
      </c>
      <c r="H10" s="26" t="s">
        <v>62</v>
      </c>
    </row>
    <row r="11" spans="1:8" x14ac:dyDescent="0.25">
      <c r="A11" s="22" t="s">
        <v>63</v>
      </c>
      <c r="B11" s="22" t="s">
        <v>144</v>
      </c>
      <c r="C11" s="22">
        <v>0</v>
      </c>
      <c r="D11" s="37" t="str">
        <f>IF(COUNT('2 - Raw Data Entry'!O23:O25)=0,"Data pending",AVERAGE('2 - Raw Data Entry'!O23:O25))</f>
        <v>Data pending</v>
      </c>
      <c r="E11" s="37" t="str">
        <f>IF(COUNT('2 - Raw Data Entry'!O59:O61)=0,"Data pending",AVERAGE('2 - Raw Data Entry'!O59:O61))</f>
        <v>Data pending</v>
      </c>
      <c r="F11" s="37" t="str">
        <f>IF(COUNT('2 - Raw Data Entry'!O95:O97)=0,"Data pending",AVERAGE('2 - Raw Data Entry'!O95:O97))</f>
        <v>Data pending</v>
      </c>
      <c r="G11" s="37" t="str">
        <f>IF(COUNT('2 - Raw Data Entry'!O131:O133)=0,"Data pending",AVERAGE('2 - Raw Data Entry'!O131:O133))</f>
        <v>Data pending</v>
      </c>
      <c r="H11" s="23" t="s">
        <v>66</v>
      </c>
    </row>
    <row r="12" spans="1:8" x14ac:dyDescent="0.25">
      <c r="A12" s="25" t="s">
        <v>67</v>
      </c>
      <c r="B12" s="25" t="s">
        <v>144</v>
      </c>
      <c r="C12" s="25">
        <v>5</v>
      </c>
      <c r="D12" s="38" t="str">
        <f>IF(COUNT('2 - Raw Data Entry'!O26:O28)=0,"Data pending",AVERAGE('2 - Raw Data Entry'!O26:O28))</f>
        <v>Data pending</v>
      </c>
      <c r="E12" s="38" t="str">
        <f>IF(COUNT('2 - Raw Data Entry'!O62:O64)=0,"Data pending",AVERAGE('2 - Raw Data Entry'!O62:O64))</f>
        <v>Data pending</v>
      </c>
      <c r="F12" s="38" t="str">
        <f>IF(COUNT('2 - Raw Data Entry'!O98:O100)=0,"Data pending",AVERAGE('2 - Raw Data Entry'!O98:O100))</f>
        <v>Data pending</v>
      </c>
      <c r="G12" s="38" t="str">
        <f>IF(COUNT('2 - Raw Data Entry'!O134:O136)=0,"Data pending",AVERAGE('2 - Raw Data Entry'!O134:O136))</f>
        <v>Data pending</v>
      </c>
      <c r="H12" s="26" t="s">
        <v>54</v>
      </c>
    </row>
    <row r="13" spans="1:8" x14ac:dyDescent="0.25">
      <c r="A13" s="22" t="s">
        <v>69</v>
      </c>
      <c r="B13" s="22" t="s">
        <v>144</v>
      </c>
      <c r="C13" s="22">
        <v>10</v>
      </c>
      <c r="D13" s="37" t="str">
        <f>IF(COUNT('2 - Raw Data Entry'!O29:O31)=0,"Data pending",AVERAGE('2 - Raw Data Entry'!O29:O31))</f>
        <v>Data pending</v>
      </c>
      <c r="E13" s="37" t="str">
        <f>IF(COUNT('2 - Raw Data Entry'!O65:O67)=0,"Data pending",AVERAGE('2 - Raw Data Entry'!O65:O67))</f>
        <v>Data pending</v>
      </c>
      <c r="F13" s="37" t="str">
        <f>IF(COUNT('2 - Raw Data Entry'!O101:O103)=0,"Data pending",AVERAGE('2 - Raw Data Entry'!O101:O103))</f>
        <v>Data pending</v>
      </c>
      <c r="G13" s="37" t="str">
        <f>IF(COUNT('2 - Raw Data Entry'!O137:O139)=0,"Data pending",AVERAGE('2 - Raw Data Entry'!O137:O139))</f>
        <v>Data pending</v>
      </c>
      <c r="H13" s="23" t="s">
        <v>56</v>
      </c>
    </row>
    <row r="14" spans="1:8" x14ac:dyDescent="0.25">
      <c r="A14" s="27" t="s">
        <v>70</v>
      </c>
      <c r="B14" s="27" t="s">
        <v>144</v>
      </c>
      <c r="C14" s="27">
        <v>15</v>
      </c>
      <c r="D14" s="39" t="str">
        <f>IF(COUNT('2 - Raw Data Entry'!O32:O34)=0,"Data pending",AVERAGE('2 - Raw Data Entry'!O32:O34))</f>
        <v>Data pending</v>
      </c>
      <c r="E14" s="39" t="str">
        <f>IF(COUNT('2 - Raw Data Entry'!O68:O70)=0,"Data pending",AVERAGE('2 - Raw Data Entry'!O68:O70))</f>
        <v>Data pending</v>
      </c>
      <c r="F14" s="39" t="str">
        <f>IF(COUNT('2 - Raw Data Entry'!O104:O106)=0,"Data pending",AVERAGE('2 - Raw Data Entry'!O104:O106))</f>
        <v>Data pending</v>
      </c>
      <c r="G14" s="39" t="str">
        <f>IF(COUNT('2 - Raw Data Entry'!O140:O142)=0,"Data pending",AVERAGE('2 - Raw Data Entry'!O140:O142))</f>
        <v>Data pending</v>
      </c>
      <c r="H14" s="28" t="s">
        <v>72</v>
      </c>
    </row>
    <row r="15" spans="1:8" x14ac:dyDescent="0.25">
      <c r="A15" s="22" t="s">
        <v>73</v>
      </c>
      <c r="B15" s="22" t="s">
        <v>144</v>
      </c>
      <c r="C15" s="22">
        <v>20</v>
      </c>
      <c r="D15" s="37" t="str">
        <f>IF(COUNT('2 - Raw Data Entry'!O35:O37)=0,"Data pending",AVERAGE('2 - Raw Data Entry'!O35:O37))</f>
        <v>Data pending</v>
      </c>
      <c r="E15" s="37" t="str">
        <f>IF(COUNT('2 - Raw Data Entry'!O71:O73)=0,"Data pending",AVERAGE('2 - Raw Data Entry'!O71:O73))</f>
        <v>Data pending</v>
      </c>
      <c r="F15" s="37" t="str">
        <f>IF(COUNT('2 - Raw Data Entry'!O107:O109)=0,"Data pending",AVERAGE('2 - Raw Data Entry'!O107:O109))</f>
        <v>Data pending</v>
      </c>
      <c r="G15" s="37" t="str">
        <f>IF(COUNT('2 - Raw Data Entry'!O143:O145)=0,"Data pending",AVERAGE('2 - Raw Data Entry'!O143:O145))</f>
        <v>Data pending</v>
      </c>
      <c r="H15" s="23" t="s">
        <v>60</v>
      </c>
    </row>
    <row r="16" spans="1:8" x14ac:dyDescent="0.25">
      <c r="A16" s="25" t="s">
        <v>74</v>
      </c>
      <c r="B16" s="25" t="s">
        <v>144</v>
      </c>
      <c r="C16" s="25">
        <v>25</v>
      </c>
      <c r="D16" s="38" t="str">
        <f>IF(COUNT('2 - Raw Data Entry'!O38:O40)=0,"Data pending",AVERAGE('2 - Raw Data Entry'!O38:O40))</f>
        <v>Data pending</v>
      </c>
      <c r="E16" s="38" t="str">
        <f>IF(COUNT('2 - Raw Data Entry'!O74:O76)=0,"Data pending",AVERAGE('2 - Raw Data Entry'!O74:O76))</f>
        <v>Data pending</v>
      </c>
      <c r="F16" s="38" t="str">
        <f>IF(COUNT('2 - Raw Data Entry'!O110:O112)=0,"Data pending",AVERAGE('2 - Raw Data Entry'!O110:O112))</f>
        <v>Data pending</v>
      </c>
      <c r="G16" s="38" t="str">
        <f>IF(COUNT('2 - Raw Data Entry'!O146:O148)=0,"Data pending",AVERAGE('2 - Raw Data Entry'!O146:O148))</f>
        <v>Data pending</v>
      </c>
      <c r="H16" s="26" t="s">
        <v>62</v>
      </c>
    </row>
  </sheetData>
  <mergeCells count="1">
    <mergeCell ref="A1:H1"/>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6"/>
  <sheetViews>
    <sheetView zoomScaleNormal="100" workbookViewId="0">
      <pane ySplit="4" topLeftCell="A5" activePane="bottomLeft" state="frozen"/>
      <selection pane="bottomLeft" activeCell="C19" sqref="C19"/>
    </sheetView>
  </sheetViews>
  <sheetFormatPr defaultColWidth="8.6640625" defaultRowHeight="13.8" x14ac:dyDescent="0.25"/>
  <cols>
    <col min="1" max="1" width="10" style="2" customWidth="1"/>
    <col min="2" max="2" width="18" style="2" customWidth="1"/>
    <col min="3" max="3" width="12" style="2" customWidth="1"/>
    <col min="4" max="7" width="20" style="2" customWidth="1"/>
    <col min="8" max="8" width="37.88671875" style="2" bestFit="1" customWidth="1"/>
    <col min="9" max="16384" width="8.6640625" style="2"/>
  </cols>
  <sheetData>
    <row r="1" spans="1:8" ht="17.399999999999999" x14ac:dyDescent="0.3">
      <c r="A1" s="50" t="s">
        <v>145</v>
      </c>
      <c r="B1" s="50"/>
      <c r="C1" s="50"/>
      <c r="D1" s="50"/>
      <c r="E1" s="50"/>
      <c r="F1" s="50"/>
      <c r="G1" s="50"/>
      <c r="H1" s="50"/>
    </row>
    <row r="2" spans="1:8" x14ac:dyDescent="0.25">
      <c r="A2" s="1" t="s">
        <v>146</v>
      </c>
    </row>
    <row r="4" spans="1:8" ht="27.75" customHeight="1" x14ac:dyDescent="0.25">
      <c r="A4" s="21" t="s">
        <v>39</v>
      </c>
      <c r="B4" s="21" t="s">
        <v>137</v>
      </c>
      <c r="C4" s="21" t="s">
        <v>40</v>
      </c>
      <c r="D4" s="21" t="s">
        <v>147</v>
      </c>
      <c r="E4" s="21" t="s">
        <v>148</v>
      </c>
      <c r="F4" s="21" t="s">
        <v>149</v>
      </c>
      <c r="G4" s="21" t="s">
        <v>150</v>
      </c>
      <c r="H4" s="21" t="s">
        <v>151</v>
      </c>
    </row>
    <row r="5" spans="1:8" x14ac:dyDescent="0.25">
      <c r="A5" s="22" t="s">
        <v>48</v>
      </c>
      <c r="B5" s="22" t="s">
        <v>143</v>
      </c>
      <c r="C5" s="22">
        <v>0</v>
      </c>
      <c r="D5" s="37" t="str">
        <f>IF(COUNT('2 - Raw Data Entry'!M5:M7)=0,"Data pending",AVERAGE('2 - Raw Data Entry'!M5:M7))</f>
        <v>Data pending</v>
      </c>
      <c r="E5" s="37" t="str">
        <f>IF(COUNT('2 - Raw Data Entry'!M41:M43)=0,"Data pending",AVERAGE('2 - Raw Data Entry'!M41:M43))</f>
        <v>Data pending</v>
      </c>
      <c r="F5" s="37" t="str">
        <f>IF(COUNT('2 - Raw Data Entry'!M77:M79)=0,"Data pending",AVERAGE('2 - Raw Data Entry'!M77:M79))</f>
        <v>Data pending</v>
      </c>
      <c r="G5" s="37" t="str">
        <f>IF(COUNT('2 - Raw Data Entry'!M113:M115)=0,"Data pending",AVERAGE('2 - Raw Data Entry'!M113:M115))</f>
        <v>Data pending</v>
      </c>
      <c r="H5" s="23" t="s">
        <v>51</v>
      </c>
    </row>
    <row r="6" spans="1:8" x14ac:dyDescent="0.25">
      <c r="A6" s="25" t="s">
        <v>52</v>
      </c>
      <c r="B6" s="25" t="s">
        <v>143</v>
      </c>
      <c r="C6" s="25">
        <v>5</v>
      </c>
      <c r="D6" s="38" t="str">
        <f>IF(COUNT('2 - Raw Data Entry'!M8:M10)=0,"Data pending",AVERAGE('2 - Raw Data Entry'!M8:M10))</f>
        <v>Data pending</v>
      </c>
      <c r="E6" s="38" t="str">
        <f>IF(COUNT('2 - Raw Data Entry'!M44:M46)=0,"Data pending",AVERAGE('2 - Raw Data Entry'!M44:M46))</f>
        <v>Data pending</v>
      </c>
      <c r="F6" s="38" t="str">
        <f>IF(COUNT('2 - Raw Data Entry'!M80:M82)=0,"Data pending",AVERAGE('2 - Raw Data Entry'!M80:M82))</f>
        <v>Data pending</v>
      </c>
      <c r="G6" s="38" t="str">
        <f>IF(COUNT('2 - Raw Data Entry'!M116:M118)=0,"Data pending",AVERAGE('2 - Raw Data Entry'!M116:M118))</f>
        <v>Data pending</v>
      </c>
      <c r="H6" s="26" t="s">
        <v>54</v>
      </c>
    </row>
    <row r="7" spans="1:8" x14ac:dyDescent="0.25">
      <c r="A7" s="22" t="s">
        <v>55</v>
      </c>
      <c r="B7" s="22" t="s">
        <v>143</v>
      </c>
      <c r="C7" s="22">
        <v>10</v>
      </c>
      <c r="D7" s="37" t="str">
        <f>IF(COUNT('2 - Raw Data Entry'!M11:M13)=0,"Data pending",AVERAGE('2 - Raw Data Entry'!M11:M13))</f>
        <v>Data pending</v>
      </c>
      <c r="E7" s="37" t="str">
        <f>IF(COUNT('2 - Raw Data Entry'!M47:M49)=0,"Data pending",AVERAGE('2 - Raw Data Entry'!M47:M49))</f>
        <v>Data pending</v>
      </c>
      <c r="F7" s="37" t="str">
        <f>IF(COUNT('2 - Raw Data Entry'!M83:M85)=0,"Data pending",AVERAGE('2 - Raw Data Entry'!M83:M85))</f>
        <v>Data pending</v>
      </c>
      <c r="G7" s="37" t="str">
        <f>IF(COUNT('2 - Raw Data Entry'!M119:M121)=0,"Data pending",AVERAGE('2 - Raw Data Entry'!M119:M121))</f>
        <v>Data pending</v>
      </c>
      <c r="H7" s="23" t="s">
        <v>56</v>
      </c>
    </row>
    <row r="8" spans="1:8" x14ac:dyDescent="0.25">
      <c r="A8" s="25" t="s">
        <v>57</v>
      </c>
      <c r="B8" s="25" t="s">
        <v>143</v>
      </c>
      <c r="C8" s="25">
        <v>15</v>
      </c>
      <c r="D8" s="38" t="str">
        <f>IF(COUNT('2 - Raw Data Entry'!M14:M16)=0,"Data pending",AVERAGE('2 - Raw Data Entry'!M14:M16))</f>
        <v>Data pending</v>
      </c>
      <c r="E8" s="38" t="str">
        <f>IF(COUNT('2 - Raw Data Entry'!M50:M52)=0,"Data pending",AVERAGE('2 - Raw Data Entry'!M50:M52))</f>
        <v>Data pending</v>
      </c>
      <c r="F8" s="38" t="str">
        <f>IF(COUNT('2 - Raw Data Entry'!M86:M88)=0,"Data pending",AVERAGE('2 - Raw Data Entry'!M86:M88))</f>
        <v>Data pending</v>
      </c>
      <c r="G8" s="38" t="str">
        <f>IF(COUNT('2 - Raw Data Entry'!M122:M124)=0,"Data pending",AVERAGE('2 - Raw Data Entry'!M122:M124))</f>
        <v>Data pending</v>
      </c>
      <c r="H8" s="26" t="s">
        <v>58</v>
      </c>
    </row>
    <row r="9" spans="1:8" x14ac:dyDescent="0.25">
      <c r="A9" s="22" t="s">
        <v>59</v>
      </c>
      <c r="B9" s="22" t="s">
        <v>143</v>
      </c>
      <c r="C9" s="22">
        <v>20</v>
      </c>
      <c r="D9" s="37" t="str">
        <f>IF(COUNT('2 - Raw Data Entry'!M17:M19)=0,"Data pending",AVERAGE('2 - Raw Data Entry'!M17:M19))</f>
        <v>Data pending</v>
      </c>
      <c r="E9" s="37" t="str">
        <f>IF(COUNT('2 - Raw Data Entry'!M53:M55)=0,"Data pending",AVERAGE('2 - Raw Data Entry'!M53:M55))</f>
        <v>Data pending</v>
      </c>
      <c r="F9" s="37" t="str">
        <f>IF(COUNT('2 - Raw Data Entry'!M89:M91)=0,"Data pending",AVERAGE('2 - Raw Data Entry'!M89:M91))</f>
        <v>Data pending</v>
      </c>
      <c r="G9" s="37" t="str">
        <f>IF(COUNT('2 - Raw Data Entry'!M125:M127)=0,"Data pending",AVERAGE('2 - Raw Data Entry'!M125:M127))</f>
        <v>Data pending</v>
      </c>
      <c r="H9" s="23" t="s">
        <v>60</v>
      </c>
    </row>
    <row r="10" spans="1:8" x14ac:dyDescent="0.25">
      <c r="A10" s="25" t="s">
        <v>61</v>
      </c>
      <c r="B10" s="25" t="s">
        <v>143</v>
      </c>
      <c r="C10" s="25">
        <v>25</v>
      </c>
      <c r="D10" s="38" t="str">
        <f>IF(COUNT('2 - Raw Data Entry'!M20:M22)=0,"Data pending",AVERAGE('2 - Raw Data Entry'!M20:M22))</f>
        <v>Data pending</v>
      </c>
      <c r="E10" s="38" t="str">
        <f>IF(COUNT('2 - Raw Data Entry'!M56:M58)=0,"Data pending",AVERAGE('2 - Raw Data Entry'!M56:M58))</f>
        <v>Data pending</v>
      </c>
      <c r="F10" s="38" t="str">
        <f>IF(COUNT('2 - Raw Data Entry'!M92:M94)=0,"Data pending",AVERAGE('2 - Raw Data Entry'!M92:M94))</f>
        <v>Data pending</v>
      </c>
      <c r="G10" s="38" t="str">
        <f>IF(COUNT('2 - Raw Data Entry'!M128:M130)=0,"Data pending",AVERAGE('2 - Raw Data Entry'!M128:M130))</f>
        <v>Data pending</v>
      </c>
      <c r="H10" s="26" t="s">
        <v>62</v>
      </c>
    </row>
    <row r="11" spans="1:8" x14ac:dyDescent="0.25">
      <c r="A11" s="22" t="s">
        <v>63</v>
      </c>
      <c r="B11" s="22" t="s">
        <v>144</v>
      </c>
      <c r="C11" s="22">
        <v>0</v>
      </c>
      <c r="D11" s="37" t="str">
        <f>IF(COUNT('2 - Raw Data Entry'!M23:M25)=0,"Data pending",AVERAGE('2 - Raw Data Entry'!M23:M25))</f>
        <v>Data pending</v>
      </c>
      <c r="E11" s="37" t="str">
        <f>IF(COUNT('2 - Raw Data Entry'!M59:M61)=0,"Data pending",AVERAGE('2 - Raw Data Entry'!M59:M61))</f>
        <v>Data pending</v>
      </c>
      <c r="F11" s="37" t="str">
        <f>IF(COUNT('2 - Raw Data Entry'!M95:M97)=0,"Data pending",AVERAGE('2 - Raw Data Entry'!M95:M97))</f>
        <v>Data pending</v>
      </c>
      <c r="G11" s="37" t="str">
        <f>IF(COUNT('2 - Raw Data Entry'!M131:M133)=0,"Data pending",AVERAGE('2 - Raw Data Entry'!M131:M133))</f>
        <v>Data pending</v>
      </c>
      <c r="H11" s="23" t="s">
        <v>66</v>
      </c>
    </row>
    <row r="12" spans="1:8" x14ac:dyDescent="0.25">
      <c r="A12" s="25" t="s">
        <v>67</v>
      </c>
      <c r="B12" s="25" t="s">
        <v>144</v>
      </c>
      <c r="C12" s="25">
        <v>5</v>
      </c>
      <c r="D12" s="38" t="str">
        <f>IF(COUNT('2 - Raw Data Entry'!M26:M28)=0,"Data pending",AVERAGE('2 - Raw Data Entry'!M26:M28))</f>
        <v>Data pending</v>
      </c>
      <c r="E12" s="38" t="str">
        <f>IF(COUNT('2 - Raw Data Entry'!M62:M64)=0,"Data pending",AVERAGE('2 - Raw Data Entry'!M62:M64))</f>
        <v>Data pending</v>
      </c>
      <c r="F12" s="38" t="str">
        <f>IF(COUNT('2 - Raw Data Entry'!M98:M100)=0,"Data pending",AVERAGE('2 - Raw Data Entry'!M98:M100))</f>
        <v>Data pending</v>
      </c>
      <c r="G12" s="38" t="str">
        <f>IF(COUNT('2 - Raw Data Entry'!M134:M136)=0,"Data pending",AVERAGE('2 - Raw Data Entry'!M134:M136))</f>
        <v>Data pending</v>
      </c>
      <c r="H12" s="26" t="s">
        <v>54</v>
      </c>
    </row>
    <row r="13" spans="1:8" x14ac:dyDescent="0.25">
      <c r="A13" s="22" t="s">
        <v>69</v>
      </c>
      <c r="B13" s="22" t="s">
        <v>144</v>
      </c>
      <c r="C13" s="22">
        <v>10</v>
      </c>
      <c r="D13" s="37" t="str">
        <f>IF(COUNT('2 - Raw Data Entry'!M29:M31)=0,"Data pending",AVERAGE('2 - Raw Data Entry'!M29:M31))</f>
        <v>Data pending</v>
      </c>
      <c r="E13" s="37" t="str">
        <f>IF(COUNT('2 - Raw Data Entry'!M65:M67)=0,"Data pending",AVERAGE('2 - Raw Data Entry'!M65:M67))</f>
        <v>Data pending</v>
      </c>
      <c r="F13" s="37" t="str">
        <f>IF(COUNT('2 - Raw Data Entry'!M101:M103)=0,"Data pending",AVERAGE('2 - Raw Data Entry'!M101:M103))</f>
        <v>Data pending</v>
      </c>
      <c r="G13" s="37" t="str">
        <f>IF(COUNT('2 - Raw Data Entry'!M137:M139)=0,"Data pending",AVERAGE('2 - Raw Data Entry'!M137:M139))</f>
        <v>Data pending</v>
      </c>
      <c r="H13" s="23" t="s">
        <v>56</v>
      </c>
    </row>
    <row r="14" spans="1:8" x14ac:dyDescent="0.25">
      <c r="A14" s="27" t="s">
        <v>70</v>
      </c>
      <c r="B14" s="27" t="s">
        <v>144</v>
      </c>
      <c r="C14" s="27">
        <v>15</v>
      </c>
      <c r="D14" s="39" t="str">
        <f>IF(COUNT('2 - Raw Data Entry'!M32:M34)=0,"Data pending",AVERAGE('2 - Raw Data Entry'!M32:M34))</f>
        <v>Data pending</v>
      </c>
      <c r="E14" s="39" t="str">
        <f>IF(COUNT('2 - Raw Data Entry'!M68:M70)=0,"Data pending",AVERAGE('2 - Raw Data Entry'!M68:M70))</f>
        <v>Data pending</v>
      </c>
      <c r="F14" s="39" t="str">
        <f>IF(COUNT('2 - Raw Data Entry'!M104:M106)=0,"Data pending",AVERAGE('2 - Raw Data Entry'!M104:M106))</f>
        <v>Data pending</v>
      </c>
      <c r="G14" s="39" t="str">
        <f>IF(COUNT('2 - Raw Data Entry'!M140:M142)=0,"Data pending",AVERAGE('2 - Raw Data Entry'!M140:M142))</f>
        <v>Data pending</v>
      </c>
      <c r="H14" s="28" t="s">
        <v>72</v>
      </c>
    </row>
    <row r="15" spans="1:8" x14ac:dyDescent="0.25">
      <c r="A15" s="22" t="s">
        <v>73</v>
      </c>
      <c r="B15" s="22" t="s">
        <v>144</v>
      </c>
      <c r="C15" s="22">
        <v>20</v>
      </c>
      <c r="D15" s="37" t="str">
        <f>IF(COUNT('2 - Raw Data Entry'!M35:M37)=0,"Data pending",AVERAGE('2 - Raw Data Entry'!M35:M37))</f>
        <v>Data pending</v>
      </c>
      <c r="E15" s="37" t="str">
        <f>IF(COUNT('2 - Raw Data Entry'!M71:M73)=0,"Data pending",AVERAGE('2 - Raw Data Entry'!M71:M73))</f>
        <v>Data pending</v>
      </c>
      <c r="F15" s="37" t="str">
        <f>IF(COUNT('2 - Raw Data Entry'!M107:M109)=0,"Data pending",AVERAGE('2 - Raw Data Entry'!M107:M109))</f>
        <v>Data pending</v>
      </c>
      <c r="G15" s="37" t="str">
        <f>IF(COUNT('2 - Raw Data Entry'!M143:M145)=0,"Data pending",AVERAGE('2 - Raw Data Entry'!M143:M145))</f>
        <v>Data pending</v>
      </c>
      <c r="H15" s="23" t="s">
        <v>60</v>
      </c>
    </row>
    <row r="16" spans="1:8" x14ac:dyDescent="0.25">
      <c r="A16" s="25" t="s">
        <v>74</v>
      </c>
      <c r="B16" s="25" t="s">
        <v>144</v>
      </c>
      <c r="C16" s="25">
        <v>25</v>
      </c>
      <c r="D16" s="38" t="str">
        <f>IF(COUNT('2 - Raw Data Entry'!M38:M40)=0,"Data pending",AVERAGE('2 - Raw Data Entry'!M38:M40))</f>
        <v>Data pending</v>
      </c>
      <c r="E16" s="38" t="str">
        <f>IF(COUNT('2 - Raw Data Entry'!M74:M76)=0,"Data pending",AVERAGE('2 - Raw Data Entry'!M74:M76))</f>
        <v>Data pending</v>
      </c>
      <c r="F16" s="38" t="str">
        <f>IF(COUNT('2 - Raw Data Entry'!M110:M112)=0,"Data pending",AVERAGE('2 - Raw Data Entry'!M110:M112))</f>
        <v>Data pending</v>
      </c>
      <c r="G16" s="38" t="str">
        <f>IF(COUNT('2 - Raw Data Entry'!M146:M148)=0,"Data pending",AVERAGE('2 - Raw Data Entry'!M146:M148))</f>
        <v>Data pending</v>
      </c>
      <c r="H16" s="26" t="s">
        <v>62</v>
      </c>
    </row>
  </sheetData>
  <mergeCells count="1">
    <mergeCell ref="A1:H1"/>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48"/>
  <sheetViews>
    <sheetView zoomScaleNormal="100" workbookViewId="0">
      <pane ySplit="4" topLeftCell="A86" activePane="bottomLeft" state="frozen"/>
      <selection pane="bottomLeft" activeCell="F11" sqref="F11"/>
    </sheetView>
  </sheetViews>
  <sheetFormatPr defaultColWidth="8.6640625" defaultRowHeight="13.8" x14ac:dyDescent="0.25"/>
  <cols>
    <col min="1" max="1" width="18" style="2" customWidth="1"/>
    <col min="2" max="2" width="10" style="2" customWidth="1"/>
    <col min="3" max="3" width="13" style="2" customWidth="1"/>
    <col min="4" max="4" width="11" style="2" customWidth="1"/>
    <col min="5" max="5" width="18" style="2" customWidth="1"/>
    <col min="6" max="6" width="22" style="2" customWidth="1"/>
    <col min="7" max="7" width="18" style="2" customWidth="1"/>
    <col min="8" max="8" width="20" style="2" customWidth="1"/>
    <col min="9" max="9" width="32" style="2" customWidth="1"/>
    <col min="10" max="16384" width="8.6640625" style="2"/>
  </cols>
  <sheetData>
    <row r="1" spans="1:9" ht="17.399999999999999" x14ac:dyDescent="0.3">
      <c r="A1" s="50" t="s">
        <v>152</v>
      </c>
      <c r="B1" s="50"/>
      <c r="C1" s="50"/>
      <c r="D1" s="50"/>
      <c r="E1" s="50"/>
      <c r="F1" s="50"/>
      <c r="G1" s="50"/>
      <c r="H1" s="50"/>
      <c r="I1" s="50"/>
    </row>
    <row r="2" spans="1:9" x14ac:dyDescent="0.25">
      <c r="A2" s="1" t="s">
        <v>153</v>
      </c>
    </row>
    <row r="4" spans="1:9" ht="27.75" customHeight="1" x14ac:dyDescent="0.25">
      <c r="A4" s="21" t="s">
        <v>154</v>
      </c>
      <c r="B4" s="21" t="s">
        <v>39</v>
      </c>
      <c r="C4" s="21" t="s">
        <v>83</v>
      </c>
      <c r="D4" s="21" t="s">
        <v>155</v>
      </c>
      <c r="E4" s="21" t="s">
        <v>45</v>
      </c>
      <c r="F4" s="21" t="s">
        <v>156</v>
      </c>
      <c r="G4" s="21" t="s">
        <v>157</v>
      </c>
      <c r="H4" s="21" t="s">
        <v>158</v>
      </c>
      <c r="I4" s="21" t="s">
        <v>159</v>
      </c>
    </row>
    <row r="5" spans="1:9" x14ac:dyDescent="0.25">
      <c r="A5" s="40" t="s">
        <v>160</v>
      </c>
      <c r="B5" s="40" t="s">
        <v>48</v>
      </c>
      <c r="C5" s="40">
        <v>200</v>
      </c>
      <c r="D5" s="40">
        <v>1</v>
      </c>
      <c r="E5" s="40" t="s">
        <v>50</v>
      </c>
      <c r="F5" s="6"/>
      <c r="G5" s="6"/>
      <c r="H5" s="6"/>
      <c r="I5" s="41"/>
    </row>
    <row r="6" spans="1:9" x14ac:dyDescent="0.25">
      <c r="A6" s="42" t="s">
        <v>161</v>
      </c>
      <c r="B6" s="42" t="s">
        <v>48</v>
      </c>
      <c r="C6" s="42">
        <v>200</v>
      </c>
      <c r="D6" s="42">
        <v>2</v>
      </c>
      <c r="E6" s="42" t="s">
        <v>50</v>
      </c>
      <c r="F6" s="6"/>
      <c r="G6" s="6"/>
      <c r="H6" s="6"/>
      <c r="I6" s="41"/>
    </row>
    <row r="7" spans="1:9" x14ac:dyDescent="0.25">
      <c r="A7" s="42" t="s">
        <v>162</v>
      </c>
      <c r="B7" s="42" t="s">
        <v>48</v>
      </c>
      <c r="C7" s="42">
        <v>200</v>
      </c>
      <c r="D7" s="42">
        <v>3</v>
      </c>
      <c r="E7" s="42" t="s">
        <v>50</v>
      </c>
      <c r="F7" s="6"/>
      <c r="G7" s="6"/>
      <c r="H7" s="6"/>
      <c r="I7" s="41"/>
    </row>
    <row r="8" spans="1:9" x14ac:dyDescent="0.25">
      <c r="A8" s="42" t="s">
        <v>163</v>
      </c>
      <c r="B8" s="42" t="s">
        <v>52</v>
      </c>
      <c r="C8" s="42">
        <v>200</v>
      </c>
      <c r="D8" s="42">
        <v>1</v>
      </c>
      <c r="E8" s="42" t="s">
        <v>53</v>
      </c>
      <c r="F8" s="6"/>
      <c r="G8" s="6"/>
      <c r="H8" s="6"/>
      <c r="I8" s="41"/>
    </row>
    <row r="9" spans="1:9" x14ac:dyDescent="0.25">
      <c r="A9" s="40" t="s">
        <v>164</v>
      </c>
      <c r="B9" s="40" t="s">
        <v>52</v>
      </c>
      <c r="C9" s="40">
        <v>200</v>
      </c>
      <c r="D9" s="40">
        <v>2</v>
      </c>
      <c r="E9" s="40" t="s">
        <v>53</v>
      </c>
      <c r="F9" s="6"/>
      <c r="G9" s="6"/>
      <c r="H9" s="6"/>
      <c r="I9" s="41"/>
    </row>
    <row r="10" spans="1:9" x14ac:dyDescent="0.25">
      <c r="A10" s="40" t="s">
        <v>165</v>
      </c>
      <c r="B10" s="40" t="s">
        <v>52</v>
      </c>
      <c r="C10" s="40">
        <v>200</v>
      </c>
      <c r="D10" s="40">
        <v>3</v>
      </c>
      <c r="E10" s="40" t="s">
        <v>53</v>
      </c>
      <c r="F10" s="6"/>
      <c r="G10" s="6"/>
      <c r="H10" s="6"/>
      <c r="I10" s="41"/>
    </row>
    <row r="11" spans="1:9" x14ac:dyDescent="0.25">
      <c r="A11" s="40" t="s">
        <v>166</v>
      </c>
      <c r="B11" s="40" t="s">
        <v>55</v>
      </c>
      <c r="C11" s="40">
        <v>200</v>
      </c>
      <c r="D11" s="40">
        <v>1</v>
      </c>
      <c r="E11" s="40" t="s">
        <v>53</v>
      </c>
      <c r="F11" s="6"/>
      <c r="G11" s="6"/>
      <c r="H11" s="6"/>
      <c r="I11" s="41"/>
    </row>
    <row r="12" spans="1:9" x14ac:dyDescent="0.25">
      <c r="A12" s="42" t="s">
        <v>167</v>
      </c>
      <c r="B12" s="42" t="s">
        <v>55</v>
      </c>
      <c r="C12" s="42">
        <v>200</v>
      </c>
      <c r="D12" s="42">
        <v>2</v>
      </c>
      <c r="E12" s="42" t="s">
        <v>53</v>
      </c>
      <c r="F12" s="6"/>
      <c r="G12" s="6"/>
      <c r="H12" s="6"/>
      <c r="I12" s="41"/>
    </row>
    <row r="13" spans="1:9" x14ac:dyDescent="0.25">
      <c r="A13" s="42" t="s">
        <v>168</v>
      </c>
      <c r="B13" s="42" t="s">
        <v>55</v>
      </c>
      <c r="C13" s="42">
        <v>200</v>
      </c>
      <c r="D13" s="42">
        <v>3</v>
      </c>
      <c r="E13" s="42" t="s">
        <v>53</v>
      </c>
      <c r="F13" s="6"/>
      <c r="G13" s="6"/>
      <c r="H13" s="6"/>
      <c r="I13" s="41"/>
    </row>
    <row r="14" spans="1:9" x14ac:dyDescent="0.25">
      <c r="A14" s="42" t="s">
        <v>169</v>
      </c>
      <c r="B14" s="42" t="s">
        <v>57</v>
      </c>
      <c r="C14" s="42">
        <v>200</v>
      </c>
      <c r="D14" s="42">
        <v>1</v>
      </c>
      <c r="E14" s="42" t="s">
        <v>53</v>
      </c>
      <c r="F14" s="6"/>
      <c r="G14" s="6"/>
      <c r="H14" s="6"/>
      <c r="I14" s="41"/>
    </row>
    <row r="15" spans="1:9" x14ac:dyDescent="0.25">
      <c r="A15" s="40" t="s">
        <v>170</v>
      </c>
      <c r="B15" s="40" t="s">
        <v>57</v>
      </c>
      <c r="C15" s="40">
        <v>200</v>
      </c>
      <c r="D15" s="40">
        <v>2</v>
      </c>
      <c r="E15" s="40" t="s">
        <v>53</v>
      </c>
      <c r="F15" s="6"/>
      <c r="G15" s="6"/>
      <c r="H15" s="6"/>
      <c r="I15" s="41"/>
    </row>
    <row r="16" spans="1:9" x14ac:dyDescent="0.25">
      <c r="A16" s="40" t="s">
        <v>171</v>
      </c>
      <c r="B16" s="40" t="s">
        <v>57</v>
      </c>
      <c r="C16" s="40">
        <v>200</v>
      </c>
      <c r="D16" s="40">
        <v>3</v>
      </c>
      <c r="E16" s="40" t="s">
        <v>53</v>
      </c>
      <c r="F16" s="6"/>
      <c r="G16" s="6"/>
      <c r="H16" s="6"/>
      <c r="I16" s="41"/>
    </row>
    <row r="17" spans="1:9" x14ac:dyDescent="0.25">
      <c r="A17" s="40" t="s">
        <v>172</v>
      </c>
      <c r="B17" s="40" t="s">
        <v>59</v>
      </c>
      <c r="C17" s="40">
        <v>200</v>
      </c>
      <c r="D17" s="40">
        <v>1</v>
      </c>
      <c r="E17" s="40" t="s">
        <v>53</v>
      </c>
      <c r="F17" s="6"/>
      <c r="G17" s="6"/>
      <c r="H17" s="6"/>
      <c r="I17" s="41"/>
    </row>
    <row r="18" spans="1:9" x14ac:dyDescent="0.25">
      <c r="A18" s="42" t="s">
        <v>173</v>
      </c>
      <c r="B18" s="42" t="s">
        <v>59</v>
      </c>
      <c r="C18" s="42">
        <v>200</v>
      </c>
      <c r="D18" s="42">
        <v>2</v>
      </c>
      <c r="E18" s="42" t="s">
        <v>53</v>
      </c>
      <c r="F18" s="6"/>
      <c r="G18" s="6"/>
      <c r="H18" s="6"/>
      <c r="I18" s="41"/>
    </row>
    <row r="19" spans="1:9" x14ac:dyDescent="0.25">
      <c r="A19" s="42" t="s">
        <v>174</v>
      </c>
      <c r="B19" s="42" t="s">
        <v>59</v>
      </c>
      <c r="C19" s="42">
        <v>200</v>
      </c>
      <c r="D19" s="42">
        <v>3</v>
      </c>
      <c r="E19" s="42" t="s">
        <v>53</v>
      </c>
      <c r="F19" s="6"/>
      <c r="G19" s="6"/>
      <c r="H19" s="6"/>
      <c r="I19" s="41"/>
    </row>
    <row r="20" spans="1:9" x14ac:dyDescent="0.25">
      <c r="A20" s="42" t="s">
        <v>175</v>
      </c>
      <c r="B20" s="42" t="s">
        <v>61</v>
      </c>
      <c r="C20" s="42">
        <v>200</v>
      </c>
      <c r="D20" s="42">
        <v>1</v>
      </c>
      <c r="E20" s="42" t="s">
        <v>53</v>
      </c>
      <c r="F20" s="6"/>
      <c r="G20" s="6"/>
      <c r="H20" s="6"/>
      <c r="I20" s="41"/>
    </row>
    <row r="21" spans="1:9" x14ac:dyDescent="0.25">
      <c r="A21" s="40" t="s">
        <v>176</v>
      </c>
      <c r="B21" s="40" t="s">
        <v>61</v>
      </c>
      <c r="C21" s="40">
        <v>200</v>
      </c>
      <c r="D21" s="40">
        <v>2</v>
      </c>
      <c r="E21" s="40" t="s">
        <v>53</v>
      </c>
      <c r="F21" s="6"/>
      <c r="G21" s="6"/>
      <c r="H21" s="6"/>
      <c r="I21" s="41"/>
    </row>
    <row r="22" spans="1:9" x14ac:dyDescent="0.25">
      <c r="A22" s="40" t="s">
        <v>177</v>
      </c>
      <c r="B22" s="40" t="s">
        <v>61</v>
      </c>
      <c r="C22" s="40">
        <v>200</v>
      </c>
      <c r="D22" s="40">
        <v>3</v>
      </c>
      <c r="E22" s="40" t="s">
        <v>53</v>
      </c>
      <c r="F22" s="6"/>
      <c r="G22" s="6"/>
      <c r="H22" s="6"/>
      <c r="I22" s="41"/>
    </row>
    <row r="23" spans="1:9" x14ac:dyDescent="0.25">
      <c r="A23" s="40" t="s">
        <v>178</v>
      </c>
      <c r="B23" s="40" t="s">
        <v>63</v>
      </c>
      <c r="C23" s="40">
        <v>200</v>
      </c>
      <c r="D23" s="40">
        <v>1</v>
      </c>
      <c r="E23" s="40" t="s">
        <v>65</v>
      </c>
      <c r="F23" s="6"/>
      <c r="G23" s="6"/>
      <c r="H23" s="6"/>
      <c r="I23" s="41"/>
    </row>
    <row r="24" spans="1:9" x14ac:dyDescent="0.25">
      <c r="A24" s="42" t="s">
        <v>179</v>
      </c>
      <c r="B24" s="42" t="s">
        <v>63</v>
      </c>
      <c r="C24" s="42">
        <v>200</v>
      </c>
      <c r="D24" s="42">
        <v>2</v>
      </c>
      <c r="E24" s="42" t="s">
        <v>65</v>
      </c>
      <c r="F24" s="6"/>
      <c r="G24" s="6"/>
      <c r="H24" s="6"/>
      <c r="I24" s="41"/>
    </row>
    <row r="25" spans="1:9" x14ac:dyDescent="0.25">
      <c r="A25" s="42" t="s">
        <v>180</v>
      </c>
      <c r="B25" s="42" t="s">
        <v>63</v>
      </c>
      <c r="C25" s="42">
        <v>200</v>
      </c>
      <c r="D25" s="42">
        <v>3</v>
      </c>
      <c r="E25" s="42" t="s">
        <v>65</v>
      </c>
      <c r="F25" s="6"/>
      <c r="G25" s="6"/>
      <c r="H25" s="6"/>
      <c r="I25" s="41"/>
    </row>
    <row r="26" spans="1:9" x14ac:dyDescent="0.25">
      <c r="A26" s="42" t="s">
        <v>181</v>
      </c>
      <c r="B26" s="42" t="s">
        <v>67</v>
      </c>
      <c r="C26" s="42">
        <v>200</v>
      </c>
      <c r="D26" s="42">
        <v>1</v>
      </c>
      <c r="E26" s="42" t="s">
        <v>68</v>
      </c>
      <c r="F26" s="6"/>
      <c r="G26" s="6"/>
      <c r="H26" s="6"/>
      <c r="I26" s="41"/>
    </row>
    <row r="27" spans="1:9" x14ac:dyDescent="0.25">
      <c r="A27" s="40" t="s">
        <v>182</v>
      </c>
      <c r="B27" s="40" t="s">
        <v>67</v>
      </c>
      <c r="C27" s="40">
        <v>200</v>
      </c>
      <c r="D27" s="40">
        <v>2</v>
      </c>
      <c r="E27" s="40" t="s">
        <v>68</v>
      </c>
      <c r="F27" s="6"/>
      <c r="G27" s="6"/>
      <c r="H27" s="6"/>
      <c r="I27" s="41"/>
    </row>
    <row r="28" spans="1:9" x14ac:dyDescent="0.25">
      <c r="A28" s="40" t="s">
        <v>183</v>
      </c>
      <c r="B28" s="40" t="s">
        <v>67</v>
      </c>
      <c r="C28" s="40">
        <v>200</v>
      </c>
      <c r="D28" s="40">
        <v>3</v>
      </c>
      <c r="E28" s="40" t="s">
        <v>68</v>
      </c>
      <c r="F28" s="6"/>
      <c r="G28" s="6"/>
      <c r="H28" s="6"/>
      <c r="I28" s="41"/>
    </row>
    <row r="29" spans="1:9" x14ac:dyDescent="0.25">
      <c r="A29" s="40" t="s">
        <v>184</v>
      </c>
      <c r="B29" s="40" t="s">
        <v>69</v>
      </c>
      <c r="C29" s="40">
        <v>200</v>
      </c>
      <c r="D29" s="40">
        <v>1</v>
      </c>
      <c r="E29" s="40" t="s">
        <v>68</v>
      </c>
      <c r="F29" s="6"/>
      <c r="G29" s="6"/>
      <c r="H29" s="6"/>
      <c r="I29" s="41"/>
    </row>
    <row r="30" spans="1:9" x14ac:dyDescent="0.25">
      <c r="A30" s="42" t="s">
        <v>185</v>
      </c>
      <c r="B30" s="42" t="s">
        <v>69</v>
      </c>
      <c r="C30" s="42">
        <v>200</v>
      </c>
      <c r="D30" s="42">
        <v>2</v>
      </c>
      <c r="E30" s="42" t="s">
        <v>68</v>
      </c>
      <c r="F30" s="6"/>
      <c r="G30" s="6"/>
      <c r="H30" s="6"/>
      <c r="I30" s="41"/>
    </row>
    <row r="31" spans="1:9" x14ac:dyDescent="0.25">
      <c r="A31" s="42" t="s">
        <v>186</v>
      </c>
      <c r="B31" s="42" t="s">
        <v>69</v>
      </c>
      <c r="C31" s="42">
        <v>200</v>
      </c>
      <c r="D31" s="42">
        <v>3</v>
      </c>
      <c r="E31" s="42" t="s">
        <v>68</v>
      </c>
      <c r="F31" s="6"/>
      <c r="G31" s="6"/>
      <c r="H31" s="6"/>
      <c r="I31" s="41"/>
    </row>
    <row r="32" spans="1:9" x14ac:dyDescent="0.25">
      <c r="A32" s="42" t="s">
        <v>187</v>
      </c>
      <c r="B32" s="42" t="s">
        <v>70</v>
      </c>
      <c r="C32" s="42">
        <v>200</v>
      </c>
      <c r="D32" s="42">
        <v>1</v>
      </c>
      <c r="E32" s="42" t="s">
        <v>71</v>
      </c>
      <c r="F32" s="6"/>
      <c r="G32" s="6"/>
      <c r="H32" s="6"/>
      <c r="I32" s="41"/>
    </row>
    <row r="33" spans="1:9" x14ac:dyDescent="0.25">
      <c r="A33" s="40" t="s">
        <v>188</v>
      </c>
      <c r="B33" s="40" t="s">
        <v>70</v>
      </c>
      <c r="C33" s="40">
        <v>200</v>
      </c>
      <c r="D33" s="40">
        <v>2</v>
      </c>
      <c r="E33" s="40" t="s">
        <v>71</v>
      </c>
      <c r="F33" s="6"/>
      <c r="G33" s="6"/>
      <c r="H33" s="6"/>
      <c r="I33" s="41"/>
    </row>
    <row r="34" spans="1:9" x14ac:dyDescent="0.25">
      <c r="A34" s="40" t="s">
        <v>189</v>
      </c>
      <c r="B34" s="40" t="s">
        <v>70</v>
      </c>
      <c r="C34" s="40">
        <v>200</v>
      </c>
      <c r="D34" s="40">
        <v>3</v>
      </c>
      <c r="E34" s="40" t="s">
        <v>71</v>
      </c>
      <c r="F34" s="6"/>
      <c r="G34" s="6"/>
      <c r="H34" s="6"/>
      <c r="I34" s="41"/>
    </row>
    <row r="35" spans="1:9" x14ac:dyDescent="0.25">
      <c r="A35" s="40" t="s">
        <v>190</v>
      </c>
      <c r="B35" s="40" t="s">
        <v>73</v>
      </c>
      <c r="C35" s="40">
        <v>200</v>
      </c>
      <c r="D35" s="40">
        <v>1</v>
      </c>
      <c r="E35" s="40" t="s">
        <v>68</v>
      </c>
      <c r="F35" s="6"/>
      <c r="G35" s="6"/>
      <c r="H35" s="6"/>
      <c r="I35" s="41"/>
    </row>
    <row r="36" spans="1:9" x14ac:dyDescent="0.25">
      <c r="A36" s="42" t="s">
        <v>191</v>
      </c>
      <c r="B36" s="42" t="s">
        <v>73</v>
      </c>
      <c r="C36" s="42">
        <v>200</v>
      </c>
      <c r="D36" s="42">
        <v>2</v>
      </c>
      <c r="E36" s="42" t="s">
        <v>68</v>
      </c>
      <c r="F36" s="6"/>
      <c r="G36" s="6"/>
      <c r="H36" s="6"/>
      <c r="I36" s="41"/>
    </row>
    <row r="37" spans="1:9" x14ac:dyDescent="0.25">
      <c r="A37" s="42" t="s">
        <v>192</v>
      </c>
      <c r="B37" s="42" t="s">
        <v>73</v>
      </c>
      <c r="C37" s="42">
        <v>200</v>
      </c>
      <c r="D37" s="42">
        <v>3</v>
      </c>
      <c r="E37" s="42" t="s">
        <v>68</v>
      </c>
      <c r="F37" s="6"/>
      <c r="G37" s="6"/>
      <c r="H37" s="6"/>
      <c r="I37" s="41"/>
    </row>
    <row r="38" spans="1:9" x14ac:dyDescent="0.25">
      <c r="A38" s="42" t="s">
        <v>193</v>
      </c>
      <c r="B38" s="42" t="s">
        <v>74</v>
      </c>
      <c r="C38" s="42">
        <v>200</v>
      </c>
      <c r="D38" s="42">
        <v>1</v>
      </c>
      <c r="E38" s="42" t="s">
        <v>68</v>
      </c>
      <c r="F38" s="6"/>
      <c r="G38" s="6"/>
      <c r="H38" s="6"/>
      <c r="I38" s="41"/>
    </row>
    <row r="39" spans="1:9" x14ac:dyDescent="0.25">
      <c r="A39" s="40" t="s">
        <v>194</v>
      </c>
      <c r="B39" s="40" t="s">
        <v>74</v>
      </c>
      <c r="C39" s="40">
        <v>200</v>
      </c>
      <c r="D39" s="40">
        <v>2</v>
      </c>
      <c r="E39" s="40" t="s">
        <v>68</v>
      </c>
      <c r="F39" s="6"/>
      <c r="G39" s="6"/>
      <c r="H39" s="6"/>
      <c r="I39" s="41"/>
    </row>
    <row r="40" spans="1:9" x14ac:dyDescent="0.25">
      <c r="A40" s="40" t="s">
        <v>195</v>
      </c>
      <c r="B40" s="40" t="s">
        <v>74</v>
      </c>
      <c r="C40" s="40">
        <v>200</v>
      </c>
      <c r="D40" s="40">
        <v>3</v>
      </c>
      <c r="E40" s="40" t="s">
        <v>68</v>
      </c>
      <c r="F40" s="6"/>
      <c r="G40" s="6"/>
      <c r="H40" s="6"/>
      <c r="I40" s="41"/>
    </row>
    <row r="41" spans="1:9" x14ac:dyDescent="0.25">
      <c r="A41" s="40" t="s">
        <v>196</v>
      </c>
      <c r="B41" s="40" t="s">
        <v>48</v>
      </c>
      <c r="C41" s="40">
        <v>400</v>
      </c>
      <c r="D41" s="40">
        <v>1</v>
      </c>
      <c r="E41" s="40" t="s">
        <v>50</v>
      </c>
      <c r="F41" s="6"/>
      <c r="G41" s="6"/>
      <c r="H41" s="6"/>
      <c r="I41" s="41"/>
    </row>
    <row r="42" spans="1:9" x14ac:dyDescent="0.25">
      <c r="A42" s="42" t="s">
        <v>197</v>
      </c>
      <c r="B42" s="42" t="s">
        <v>48</v>
      </c>
      <c r="C42" s="42">
        <v>400</v>
      </c>
      <c r="D42" s="42">
        <v>2</v>
      </c>
      <c r="E42" s="42" t="s">
        <v>50</v>
      </c>
      <c r="F42" s="6"/>
      <c r="G42" s="6"/>
      <c r="H42" s="6"/>
      <c r="I42" s="41"/>
    </row>
    <row r="43" spans="1:9" x14ac:dyDescent="0.25">
      <c r="A43" s="42" t="s">
        <v>198</v>
      </c>
      <c r="B43" s="42" t="s">
        <v>48</v>
      </c>
      <c r="C43" s="42">
        <v>400</v>
      </c>
      <c r="D43" s="42">
        <v>3</v>
      </c>
      <c r="E43" s="42" t="s">
        <v>50</v>
      </c>
      <c r="F43" s="6"/>
      <c r="G43" s="6"/>
      <c r="H43" s="6"/>
      <c r="I43" s="41"/>
    </row>
    <row r="44" spans="1:9" x14ac:dyDescent="0.25">
      <c r="A44" s="42" t="s">
        <v>199</v>
      </c>
      <c r="B44" s="42" t="s">
        <v>52</v>
      </c>
      <c r="C44" s="42">
        <v>400</v>
      </c>
      <c r="D44" s="42">
        <v>1</v>
      </c>
      <c r="E44" s="42" t="s">
        <v>53</v>
      </c>
      <c r="F44" s="6"/>
      <c r="G44" s="6"/>
      <c r="H44" s="6"/>
      <c r="I44" s="41"/>
    </row>
    <row r="45" spans="1:9" x14ac:dyDescent="0.25">
      <c r="A45" s="40" t="s">
        <v>200</v>
      </c>
      <c r="B45" s="40" t="s">
        <v>52</v>
      </c>
      <c r="C45" s="40">
        <v>400</v>
      </c>
      <c r="D45" s="40">
        <v>2</v>
      </c>
      <c r="E45" s="40" t="s">
        <v>53</v>
      </c>
      <c r="F45" s="6"/>
      <c r="G45" s="6"/>
      <c r="H45" s="6"/>
      <c r="I45" s="41"/>
    </row>
    <row r="46" spans="1:9" x14ac:dyDescent="0.25">
      <c r="A46" s="40" t="s">
        <v>201</v>
      </c>
      <c r="B46" s="40" t="s">
        <v>52</v>
      </c>
      <c r="C46" s="40">
        <v>400</v>
      </c>
      <c r="D46" s="40">
        <v>3</v>
      </c>
      <c r="E46" s="40" t="s">
        <v>53</v>
      </c>
      <c r="F46" s="6"/>
      <c r="G46" s="6"/>
      <c r="H46" s="6"/>
      <c r="I46" s="41"/>
    </row>
    <row r="47" spans="1:9" x14ac:dyDescent="0.25">
      <c r="A47" s="40" t="s">
        <v>202</v>
      </c>
      <c r="B47" s="40" t="s">
        <v>55</v>
      </c>
      <c r="C47" s="40">
        <v>400</v>
      </c>
      <c r="D47" s="40">
        <v>1</v>
      </c>
      <c r="E47" s="40" t="s">
        <v>53</v>
      </c>
      <c r="F47" s="6"/>
      <c r="G47" s="6"/>
      <c r="H47" s="6"/>
      <c r="I47" s="41"/>
    </row>
    <row r="48" spans="1:9" x14ac:dyDescent="0.25">
      <c r="A48" s="42" t="s">
        <v>203</v>
      </c>
      <c r="B48" s="42" t="s">
        <v>55</v>
      </c>
      <c r="C48" s="42">
        <v>400</v>
      </c>
      <c r="D48" s="42">
        <v>2</v>
      </c>
      <c r="E48" s="42" t="s">
        <v>53</v>
      </c>
      <c r="F48" s="6"/>
      <c r="G48" s="6"/>
      <c r="H48" s="6"/>
      <c r="I48" s="41"/>
    </row>
    <row r="49" spans="1:9" x14ac:dyDescent="0.25">
      <c r="A49" s="42" t="s">
        <v>204</v>
      </c>
      <c r="B49" s="42" t="s">
        <v>55</v>
      </c>
      <c r="C49" s="42">
        <v>400</v>
      </c>
      <c r="D49" s="42">
        <v>3</v>
      </c>
      <c r="E49" s="42" t="s">
        <v>53</v>
      </c>
      <c r="F49" s="6"/>
      <c r="G49" s="6"/>
      <c r="H49" s="6"/>
      <c r="I49" s="41"/>
    </row>
    <row r="50" spans="1:9" x14ac:dyDescent="0.25">
      <c r="A50" s="42" t="s">
        <v>205</v>
      </c>
      <c r="B50" s="42" t="s">
        <v>57</v>
      </c>
      <c r="C50" s="42">
        <v>400</v>
      </c>
      <c r="D50" s="42">
        <v>1</v>
      </c>
      <c r="E50" s="42" t="s">
        <v>53</v>
      </c>
      <c r="F50" s="6"/>
      <c r="G50" s="6"/>
      <c r="H50" s="6"/>
      <c r="I50" s="41"/>
    </row>
    <row r="51" spans="1:9" x14ac:dyDescent="0.25">
      <c r="A51" s="40" t="s">
        <v>206</v>
      </c>
      <c r="B51" s="40" t="s">
        <v>57</v>
      </c>
      <c r="C51" s="40">
        <v>400</v>
      </c>
      <c r="D51" s="40">
        <v>2</v>
      </c>
      <c r="E51" s="40" t="s">
        <v>53</v>
      </c>
      <c r="F51" s="6"/>
      <c r="G51" s="6"/>
      <c r="H51" s="6"/>
      <c r="I51" s="41"/>
    </row>
    <row r="52" spans="1:9" x14ac:dyDescent="0.25">
      <c r="A52" s="40" t="s">
        <v>207</v>
      </c>
      <c r="B52" s="40" t="s">
        <v>57</v>
      </c>
      <c r="C52" s="40">
        <v>400</v>
      </c>
      <c r="D52" s="40">
        <v>3</v>
      </c>
      <c r="E52" s="40" t="s">
        <v>53</v>
      </c>
      <c r="F52" s="6"/>
      <c r="G52" s="6"/>
      <c r="H52" s="6"/>
      <c r="I52" s="41"/>
    </row>
    <row r="53" spans="1:9" x14ac:dyDescent="0.25">
      <c r="A53" s="40" t="s">
        <v>208</v>
      </c>
      <c r="B53" s="40" t="s">
        <v>59</v>
      </c>
      <c r="C53" s="40">
        <v>400</v>
      </c>
      <c r="D53" s="40">
        <v>1</v>
      </c>
      <c r="E53" s="40" t="s">
        <v>53</v>
      </c>
      <c r="F53" s="6"/>
      <c r="G53" s="6"/>
      <c r="H53" s="6"/>
      <c r="I53" s="41"/>
    </row>
    <row r="54" spans="1:9" x14ac:dyDescent="0.25">
      <c r="A54" s="42" t="s">
        <v>209</v>
      </c>
      <c r="B54" s="42" t="s">
        <v>59</v>
      </c>
      <c r="C54" s="42">
        <v>400</v>
      </c>
      <c r="D54" s="42">
        <v>2</v>
      </c>
      <c r="E54" s="42" t="s">
        <v>53</v>
      </c>
      <c r="F54" s="6"/>
      <c r="G54" s="6"/>
      <c r="H54" s="6"/>
      <c r="I54" s="41"/>
    </row>
    <row r="55" spans="1:9" x14ac:dyDescent="0.25">
      <c r="A55" s="42" t="s">
        <v>210</v>
      </c>
      <c r="B55" s="42" t="s">
        <v>59</v>
      </c>
      <c r="C55" s="42">
        <v>400</v>
      </c>
      <c r="D55" s="42">
        <v>3</v>
      </c>
      <c r="E55" s="42" t="s">
        <v>53</v>
      </c>
      <c r="F55" s="6"/>
      <c r="G55" s="6"/>
      <c r="H55" s="6"/>
      <c r="I55" s="41"/>
    </row>
    <row r="56" spans="1:9" x14ac:dyDescent="0.25">
      <c r="A56" s="42" t="s">
        <v>211</v>
      </c>
      <c r="B56" s="42" t="s">
        <v>61</v>
      </c>
      <c r="C56" s="42">
        <v>400</v>
      </c>
      <c r="D56" s="42">
        <v>1</v>
      </c>
      <c r="E56" s="42" t="s">
        <v>53</v>
      </c>
      <c r="F56" s="6"/>
      <c r="G56" s="6"/>
      <c r="H56" s="6"/>
      <c r="I56" s="41"/>
    </row>
    <row r="57" spans="1:9" x14ac:dyDescent="0.25">
      <c r="A57" s="40" t="s">
        <v>212</v>
      </c>
      <c r="B57" s="40" t="s">
        <v>61</v>
      </c>
      <c r="C57" s="40">
        <v>400</v>
      </c>
      <c r="D57" s="40">
        <v>2</v>
      </c>
      <c r="E57" s="40" t="s">
        <v>53</v>
      </c>
      <c r="F57" s="6"/>
      <c r="G57" s="6"/>
      <c r="H57" s="6"/>
      <c r="I57" s="41"/>
    </row>
    <row r="58" spans="1:9" x14ac:dyDescent="0.25">
      <c r="A58" s="40" t="s">
        <v>213</v>
      </c>
      <c r="B58" s="40" t="s">
        <v>61</v>
      </c>
      <c r="C58" s="40">
        <v>400</v>
      </c>
      <c r="D58" s="40">
        <v>3</v>
      </c>
      <c r="E58" s="40" t="s">
        <v>53</v>
      </c>
      <c r="F58" s="6"/>
      <c r="G58" s="6"/>
      <c r="H58" s="6"/>
      <c r="I58" s="41"/>
    </row>
    <row r="59" spans="1:9" x14ac:dyDescent="0.25">
      <c r="A59" s="40" t="s">
        <v>214</v>
      </c>
      <c r="B59" s="40" t="s">
        <v>63</v>
      </c>
      <c r="C59" s="40">
        <v>400</v>
      </c>
      <c r="D59" s="40">
        <v>1</v>
      </c>
      <c r="E59" s="40" t="s">
        <v>65</v>
      </c>
      <c r="F59" s="6"/>
      <c r="G59" s="6"/>
      <c r="H59" s="6"/>
      <c r="I59" s="41"/>
    </row>
    <row r="60" spans="1:9" x14ac:dyDescent="0.25">
      <c r="A60" s="42" t="s">
        <v>215</v>
      </c>
      <c r="B60" s="42" t="s">
        <v>63</v>
      </c>
      <c r="C60" s="42">
        <v>400</v>
      </c>
      <c r="D60" s="42">
        <v>2</v>
      </c>
      <c r="E60" s="42" t="s">
        <v>65</v>
      </c>
      <c r="F60" s="6"/>
      <c r="G60" s="6"/>
      <c r="H60" s="6"/>
      <c r="I60" s="41"/>
    </row>
    <row r="61" spans="1:9" x14ac:dyDescent="0.25">
      <c r="A61" s="42" t="s">
        <v>216</v>
      </c>
      <c r="B61" s="42" t="s">
        <v>63</v>
      </c>
      <c r="C61" s="42">
        <v>400</v>
      </c>
      <c r="D61" s="42">
        <v>3</v>
      </c>
      <c r="E61" s="42" t="s">
        <v>65</v>
      </c>
      <c r="F61" s="6"/>
      <c r="G61" s="6"/>
      <c r="H61" s="6"/>
      <c r="I61" s="41"/>
    </row>
    <row r="62" spans="1:9" x14ac:dyDescent="0.25">
      <c r="A62" s="42" t="s">
        <v>217</v>
      </c>
      <c r="B62" s="42" t="s">
        <v>67</v>
      </c>
      <c r="C62" s="42">
        <v>400</v>
      </c>
      <c r="D62" s="42">
        <v>1</v>
      </c>
      <c r="E62" s="42" t="s">
        <v>68</v>
      </c>
      <c r="F62" s="6"/>
      <c r="G62" s="6"/>
      <c r="H62" s="6"/>
      <c r="I62" s="41"/>
    </row>
    <row r="63" spans="1:9" x14ac:dyDescent="0.25">
      <c r="A63" s="40" t="s">
        <v>218</v>
      </c>
      <c r="B63" s="40" t="s">
        <v>67</v>
      </c>
      <c r="C63" s="40">
        <v>400</v>
      </c>
      <c r="D63" s="40">
        <v>2</v>
      </c>
      <c r="E63" s="40" t="s">
        <v>68</v>
      </c>
      <c r="F63" s="6"/>
      <c r="G63" s="6"/>
      <c r="H63" s="6"/>
      <c r="I63" s="41"/>
    </row>
    <row r="64" spans="1:9" x14ac:dyDescent="0.25">
      <c r="A64" s="40" t="s">
        <v>219</v>
      </c>
      <c r="B64" s="40" t="s">
        <v>67</v>
      </c>
      <c r="C64" s="40">
        <v>400</v>
      </c>
      <c r="D64" s="40">
        <v>3</v>
      </c>
      <c r="E64" s="40" t="s">
        <v>68</v>
      </c>
      <c r="F64" s="6"/>
      <c r="G64" s="6"/>
      <c r="H64" s="6"/>
      <c r="I64" s="41"/>
    </row>
    <row r="65" spans="1:9" x14ac:dyDescent="0.25">
      <c r="A65" s="40" t="s">
        <v>220</v>
      </c>
      <c r="B65" s="40" t="s">
        <v>69</v>
      </c>
      <c r="C65" s="40">
        <v>400</v>
      </c>
      <c r="D65" s="40">
        <v>1</v>
      </c>
      <c r="E65" s="40" t="s">
        <v>68</v>
      </c>
      <c r="F65" s="6"/>
      <c r="G65" s="6"/>
      <c r="H65" s="6"/>
      <c r="I65" s="41"/>
    </row>
    <row r="66" spans="1:9" x14ac:dyDescent="0.25">
      <c r="A66" s="42" t="s">
        <v>221</v>
      </c>
      <c r="B66" s="42" t="s">
        <v>69</v>
      </c>
      <c r="C66" s="42">
        <v>400</v>
      </c>
      <c r="D66" s="42">
        <v>2</v>
      </c>
      <c r="E66" s="42" t="s">
        <v>68</v>
      </c>
      <c r="F66" s="6"/>
      <c r="G66" s="6"/>
      <c r="H66" s="6"/>
      <c r="I66" s="41"/>
    </row>
    <row r="67" spans="1:9" x14ac:dyDescent="0.25">
      <c r="A67" s="42" t="s">
        <v>222</v>
      </c>
      <c r="B67" s="42" t="s">
        <v>69</v>
      </c>
      <c r="C67" s="42">
        <v>400</v>
      </c>
      <c r="D67" s="42">
        <v>3</v>
      </c>
      <c r="E67" s="42" t="s">
        <v>68</v>
      </c>
      <c r="F67" s="6"/>
      <c r="G67" s="6"/>
      <c r="H67" s="6"/>
      <c r="I67" s="41"/>
    </row>
    <row r="68" spans="1:9" x14ac:dyDescent="0.25">
      <c r="A68" s="42" t="s">
        <v>223</v>
      </c>
      <c r="B68" s="42" t="s">
        <v>70</v>
      </c>
      <c r="C68" s="42">
        <v>400</v>
      </c>
      <c r="D68" s="42">
        <v>1</v>
      </c>
      <c r="E68" s="42" t="s">
        <v>71</v>
      </c>
      <c r="F68" s="6"/>
      <c r="G68" s="6"/>
      <c r="H68" s="6"/>
      <c r="I68" s="41"/>
    </row>
    <row r="69" spans="1:9" x14ac:dyDescent="0.25">
      <c r="A69" s="40" t="s">
        <v>224</v>
      </c>
      <c r="B69" s="40" t="s">
        <v>70</v>
      </c>
      <c r="C69" s="40">
        <v>400</v>
      </c>
      <c r="D69" s="40">
        <v>2</v>
      </c>
      <c r="E69" s="40" t="s">
        <v>71</v>
      </c>
      <c r="F69" s="6"/>
      <c r="G69" s="6"/>
      <c r="H69" s="6"/>
      <c r="I69" s="41"/>
    </row>
    <row r="70" spans="1:9" x14ac:dyDescent="0.25">
      <c r="A70" s="40" t="s">
        <v>225</v>
      </c>
      <c r="B70" s="40" t="s">
        <v>70</v>
      </c>
      <c r="C70" s="40">
        <v>400</v>
      </c>
      <c r="D70" s="40">
        <v>3</v>
      </c>
      <c r="E70" s="40" t="s">
        <v>71</v>
      </c>
      <c r="F70" s="6"/>
      <c r="G70" s="6"/>
      <c r="H70" s="6"/>
      <c r="I70" s="41"/>
    </row>
    <row r="71" spans="1:9" x14ac:dyDescent="0.25">
      <c r="A71" s="40" t="s">
        <v>226</v>
      </c>
      <c r="B71" s="40" t="s">
        <v>73</v>
      </c>
      <c r="C71" s="40">
        <v>400</v>
      </c>
      <c r="D71" s="40">
        <v>1</v>
      </c>
      <c r="E71" s="40" t="s">
        <v>68</v>
      </c>
      <c r="F71" s="6"/>
      <c r="G71" s="6"/>
      <c r="H71" s="6"/>
      <c r="I71" s="41"/>
    </row>
    <row r="72" spans="1:9" x14ac:dyDescent="0.25">
      <c r="A72" s="42" t="s">
        <v>227</v>
      </c>
      <c r="B72" s="42" t="s">
        <v>73</v>
      </c>
      <c r="C72" s="42">
        <v>400</v>
      </c>
      <c r="D72" s="42">
        <v>2</v>
      </c>
      <c r="E72" s="42" t="s">
        <v>68</v>
      </c>
      <c r="F72" s="6"/>
      <c r="G72" s="6"/>
      <c r="H72" s="6"/>
      <c r="I72" s="41"/>
    </row>
    <row r="73" spans="1:9" x14ac:dyDescent="0.25">
      <c r="A73" s="42" t="s">
        <v>228</v>
      </c>
      <c r="B73" s="42" t="s">
        <v>73</v>
      </c>
      <c r="C73" s="42">
        <v>400</v>
      </c>
      <c r="D73" s="42">
        <v>3</v>
      </c>
      <c r="E73" s="42" t="s">
        <v>68</v>
      </c>
      <c r="F73" s="6"/>
      <c r="G73" s="6"/>
      <c r="H73" s="6"/>
      <c r="I73" s="41"/>
    </row>
    <row r="74" spans="1:9" x14ac:dyDescent="0.25">
      <c r="A74" s="42" t="s">
        <v>229</v>
      </c>
      <c r="B74" s="42" t="s">
        <v>74</v>
      </c>
      <c r="C74" s="42">
        <v>400</v>
      </c>
      <c r="D74" s="42">
        <v>1</v>
      </c>
      <c r="E74" s="42" t="s">
        <v>68</v>
      </c>
      <c r="F74" s="6"/>
      <c r="G74" s="6"/>
      <c r="H74" s="6"/>
      <c r="I74" s="41"/>
    </row>
    <row r="75" spans="1:9" x14ac:dyDescent="0.25">
      <c r="A75" s="40" t="s">
        <v>230</v>
      </c>
      <c r="B75" s="40" t="s">
        <v>74</v>
      </c>
      <c r="C75" s="40">
        <v>400</v>
      </c>
      <c r="D75" s="40">
        <v>2</v>
      </c>
      <c r="E75" s="40" t="s">
        <v>68</v>
      </c>
      <c r="F75" s="6"/>
      <c r="G75" s="6"/>
      <c r="H75" s="6"/>
      <c r="I75" s="41"/>
    </row>
    <row r="76" spans="1:9" x14ac:dyDescent="0.25">
      <c r="A76" s="40" t="s">
        <v>231</v>
      </c>
      <c r="B76" s="40" t="s">
        <v>74</v>
      </c>
      <c r="C76" s="40">
        <v>400</v>
      </c>
      <c r="D76" s="40">
        <v>3</v>
      </c>
      <c r="E76" s="40" t="s">
        <v>68</v>
      </c>
      <c r="F76" s="6"/>
      <c r="G76" s="6"/>
      <c r="H76" s="6"/>
      <c r="I76" s="41"/>
    </row>
    <row r="77" spans="1:9" x14ac:dyDescent="0.25">
      <c r="A77" s="40" t="s">
        <v>232</v>
      </c>
      <c r="B77" s="40" t="s">
        <v>48</v>
      </c>
      <c r="C77" s="40">
        <v>600</v>
      </c>
      <c r="D77" s="40">
        <v>1</v>
      </c>
      <c r="E77" s="40" t="s">
        <v>50</v>
      </c>
      <c r="F77" s="6"/>
      <c r="G77" s="6"/>
      <c r="H77" s="6"/>
      <c r="I77" s="41"/>
    </row>
    <row r="78" spans="1:9" x14ac:dyDescent="0.25">
      <c r="A78" s="42" t="s">
        <v>233</v>
      </c>
      <c r="B78" s="42" t="s">
        <v>48</v>
      </c>
      <c r="C78" s="42">
        <v>600</v>
      </c>
      <c r="D78" s="42">
        <v>2</v>
      </c>
      <c r="E78" s="42" t="s">
        <v>50</v>
      </c>
      <c r="F78" s="6"/>
      <c r="G78" s="6"/>
      <c r="H78" s="6"/>
      <c r="I78" s="41"/>
    </row>
    <row r="79" spans="1:9" x14ac:dyDescent="0.25">
      <c r="A79" s="42" t="s">
        <v>234</v>
      </c>
      <c r="B79" s="42" t="s">
        <v>48</v>
      </c>
      <c r="C79" s="42">
        <v>600</v>
      </c>
      <c r="D79" s="42">
        <v>3</v>
      </c>
      <c r="E79" s="42" t="s">
        <v>50</v>
      </c>
      <c r="F79" s="6"/>
      <c r="G79" s="6"/>
      <c r="H79" s="6"/>
      <c r="I79" s="41"/>
    </row>
    <row r="80" spans="1:9" x14ac:dyDescent="0.25">
      <c r="A80" s="42" t="s">
        <v>235</v>
      </c>
      <c r="B80" s="42" t="s">
        <v>52</v>
      </c>
      <c r="C80" s="42">
        <v>600</v>
      </c>
      <c r="D80" s="42">
        <v>1</v>
      </c>
      <c r="E80" s="42" t="s">
        <v>53</v>
      </c>
      <c r="F80" s="6"/>
      <c r="G80" s="6"/>
      <c r="H80" s="6"/>
      <c r="I80" s="41"/>
    </row>
    <row r="81" spans="1:9" x14ac:dyDescent="0.25">
      <c r="A81" s="40" t="s">
        <v>236</v>
      </c>
      <c r="B81" s="40" t="s">
        <v>52</v>
      </c>
      <c r="C81" s="40">
        <v>600</v>
      </c>
      <c r="D81" s="40">
        <v>2</v>
      </c>
      <c r="E81" s="40" t="s">
        <v>53</v>
      </c>
      <c r="F81" s="6"/>
      <c r="G81" s="6"/>
      <c r="H81" s="6"/>
      <c r="I81" s="41"/>
    </row>
    <row r="82" spans="1:9" x14ac:dyDescent="0.25">
      <c r="A82" s="40" t="s">
        <v>237</v>
      </c>
      <c r="B82" s="40" t="s">
        <v>52</v>
      </c>
      <c r="C82" s="40">
        <v>600</v>
      </c>
      <c r="D82" s="40">
        <v>3</v>
      </c>
      <c r="E82" s="40" t="s">
        <v>53</v>
      </c>
      <c r="F82" s="6"/>
      <c r="G82" s="6"/>
      <c r="H82" s="6"/>
      <c r="I82" s="41"/>
    </row>
    <row r="83" spans="1:9" x14ac:dyDescent="0.25">
      <c r="A83" s="40" t="s">
        <v>238</v>
      </c>
      <c r="B83" s="40" t="s">
        <v>55</v>
      </c>
      <c r="C83" s="40">
        <v>600</v>
      </c>
      <c r="D83" s="40">
        <v>1</v>
      </c>
      <c r="E83" s="40" t="s">
        <v>53</v>
      </c>
      <c r="F83" s="6"/>
      <c r="G83" s="6"/>
      <c r="H83" s="6"/>
      <c r="I83" s="41"/>
    </row>
    <row r="84" spans="1:9" x14ac:dyDescent="0.25">
      <c r="A84" s="42" t="s">
        <v>239</v>
      </c>
      <c r="B84" s="42" t="s">
        <v>55</v>
      </c>
      <c r="C84" s="42">
        <v>600</v>
      </c>
      <c r="D84" s="42">
        <v>2</v>
      </c>
      <c r="E84" s="42" t="s">
        <v>53</v>
      </c>
      <c r="F84" s="6"/>
      <c r="G84" s="6"/>
      <c r="H84" s="6"/>
      <c r="I84" s="41"/>
    </row>
    <row r="85" spans="1:9" x14ac:dyDescent="0.25">
      <c r="A85" s="42" t="s">
        <v>240</v>
      </c>
      <c r="B85" s="42" t="s">
        <v>55</v>
      </c>
      <c r="C85" s="42">
        <v>600</v>
      </c>
      <c r="D85" s="42">
        <v>3</v>
      </c>
      <c r="E85" s="42" t="s">
        <v>53</v>
      </c>
      <c r="F85" s="6"/>
      <c r="G85" s="6"/>
      <c r="H85" s="6"/>
      <c r="I85" s="41"/>
    </row>
    <row r="86" spans="1:9" x14ac:dyDescent="0.25">
      <c r="A86" s="42" t="s">
        <v>241</v>
      </c>
      <c r="B86" s="42" t="s">
        <v>57</v>
      </c>
      <c r="C86" s="42">
        <v>600</v>
      </c>
      <c r="D86" s="42">
        <v>1</v>
      </c>
      <c r="E86" s="42" t="s">
        <v>53</v>
      </c>
      <c r="F86" s="6"/>
      <c r="G86" s="6"/>
      <c r="H86" s="6"/>
      <c r="I86" s="41"/>
    </row>
    <row r="87" spans="1:9" x14ac:dyDescent="0.25">
      <c r="A87" s="40" t="s">
        <v>242</v>
      </c>
      <c r="B87" s="40" t="s">
        <v>57</v>
      </c>
      <c r="C87" s="40">
        <v>600</v>
      </c>
      <c r="D87" s="40">
        <v>2</v>
      </c>
      <c r="E87" s="40" t="s">
        <v>53</v>
      </c>
      <c r="F87" s="6"/>
      <c r="G87" s="6"/>
      <c r="H87" s="6"/>
      <c r="I87" s="41"/>
    </row>
    <row r="88" spans="1:9" x14ac:dyDescent="0.25">
      <c r="A88" s="40" t="s">
        <v>243</v>
      </c>
      <c r="B88" s="40" t="s">
        <v>57</v>
      </c>
      <c r="C88" s="40">
        <v>600</v>
      </c>
      <c r="D88" s="40">
        <v>3</v>
      </c>
      <c r="E88" s="40" t="s">
        <v>53</v>
      </c>
      <c r="F88" s="6"/>
      <c r="G88" s="6"/>
      <c r="H88" s="6"/>
      <c r="I88" s="41"/>
    </row>
    <row r="89" spans="1:9" x14ac:dyDescent="0.25">
      <c r="A89" s="40" t="s">
        <v>244</v>
      </c>
      <c r="B89" s="40" t="s">
        <v>59</v>
      </c>
      <c r="C89" s="40">
        <v>600</v>
      </c>
      <c r="D89" s="40">
        <v>1</v>
      </c>
      <c r="E89" s="40" t="s">
        <v>53</v>
      </c>
      <c r="F89" s="6"/>
      <c r="G89" s="6"/>
      <c r="H89" s="6"/>
      <c r="I89" s="41"/>
    </row>
    <row r="90" spans="1:9" x14ac:dyDescent="0.25">
      <c r="A90" s="42" t="s">
        <v>245</v>
      </c>
      <c r="B90" s="42" t="s">
        <v>59</v>
      </c>
      <c r="C90" s="42">
        <v>600</v>
      </c>
      <c r="D90" s="42">
        <v>2</v>
      </c>
      <c r="E90" s="42" t="s">
        <v>53</v>
      </c>
      <c r="F90" s="6"/>
      <c r="G90" s="6"/>
      <c r="H90" s="6"/>
      <c r="I90" s="41"/>
    </row>
    <row r="91" spans="1:9" x14ac:dyDescent="0.25">
      <c r="A91" s="42" t="s">
        <v>246</v>
      </c>
      <c r="B91" s="42" t="s">
        <v>59</v>
      </c>
      <c r="C91" s="42">
        <v>600</v>
      </c>
      <c r="D91" s="42">
        <v>3</v>
      </c>
      <c r="E91" s="42" t="s">
        <v>53</v>
      </c>
      <c r="F91" s="6"/>
      <c r="G91" s="6"/>
      <c r="H91" s="6"/>
      <c r="I91" s="41"/>
    </row>
    <row r="92" spans="1:9" x14ac:dyDescent="0.25">
      <c r="A92" s="42" t="s">
        <v>247</v>
      </c>
      <c r="B92" s="42" t="s">
        <v>61</v>
      </c>
      <c r="C92" s="42">
        <v>600</v>
      </c>
      <c r="D92" s="42">
        <v>1</v>
      </c>
      <c r="E92" s="42" t="s">
        <v>53</v>
      </c>
      <c r="F92" s="6"/>
      <c r="G92" s="6"/>
      <c r="H92" s="6"/>
      <c r="I92" s="41"/>
    </row>
    <row r="93" spans="1:9" x14ac:dyDescent="0.25">
      <c r="A93" s="40" t="s">
        <v>248</v>
      </c>
      <c r="B93" s="40" t="s">
        <v>61</v>
      </c>
      <c r="C93" s="40">
        <v>600</v>
      </c>
      <c r="D93" s="40">
        <v>2</v>
      </c>
      <c r="E93" s="40" t="s">
        <v>53</v>
      </c>
      <c r="F93" s="6"/>
      <c r="G93" s="6"/>
      <c r="H93" s="6"/>
      <c r="I93" s="41"/>
    </row>
    <row r="94" spans="1:9" x14ac:dyDescent="0.25">
      <c r="A94" s="40" t="s">
        <v>249</v>
      </c>
      <c r="B94" s="40" t="s">
        <v>61</v>
      </c>
      <c r="C94" s="40">
        <v>600</v>
      </c>
      <c r="D94" s="40">
        <v>3</v>
      </c>
      <c r="E94" s="40" t="s">
        <v>53</v>
      </c>
      <c r="F94" s="6"/>
      <c r="G94" s="6"/>
      <c r="H94" s="6"/>
      <c r="I94" s="41"/>
    </row>
    <row r="95" spans="1:9" x14ac:dyDescent="0.25">
      <c r="A95" s="40" t="s">
        <v>250</v>
      </c>
      <c r="B95" s="40" t="s">
        <v>63</v>
      </c>
      <c r="C95" s="40">
        <v>600</v>
      </c>
      <c r="D95" s="40">
        <v>1</v>
      </c>
      <c r="E95" s="40" t="s">
        <v>65</v>
      </c>
      <c r="F95" s="6"/>
      <c r="G95" s="6"/>
      <c r="H95" s="6"/>
      <c r="I95" s="41"/>
    </row>
    <row r="96" spans="1:9" x14ac:dyDescent="0.25">
      <c r="A96" s="42" t="s">
        <v>251</v>
      </c>
      <c r="B96" s="42" t="s">
        <v>63</v>
      </c>
      <c r="C96" s="42">
        <v>600</v>
      </c>
      <c r="D96" s="42">
        <v>2</v>
      </c>
      <c r="E96" s="42" t="s">
        <v>65</v>
      </c>
      <c r="F96" s="6"/>
      <c r="G96" s="6"/>
      <c r="H96" s="6"/>
      <c r="I96" s="41"/>
    </row>
    <row r="97" spans="1:9" x14ac:dyDescent="0.25">
      <c r="A97" s="42" t="s">
        <v>252</v>
      </c>
      <c r="B97" s="42" t="s">
        <v>63</v>
      </c>
      <c r="C97" s="42">
        <v>600</v>
      </c>
      <c r="D97" s="42">
        <v>3</v>
      </c>
      <c r="E97" s="42" t="s">
        <v>65</v>
      </c>
      <c r="F97" s="6"/>
      <c r="G97" s="6"/>
      <c r="H97" s="6"/>
      <c r="I97" s="41"/>
    </row>
    <row r="98" spans="1:9" x14ac:dyDescent="0.25">
      <c r="A98" s="42" t="s">
        <v>253</v>
      </c>
      <c r="B98" s="42" t="s">
        <v>67</v>
      </c>
      <c r="C98" s="42">
        <v>600</v>
      </c>
      <c r="D98" s="42">
        <v>1</v>
      </c>
      <c r="E98" s="42" t="s">
        <v>68</v>
      </c>
      <c r="F98" s="6"/>
      <c r="G98" s="6"/>
      <c r="H98" s="6"/>
      <c r="I98" s="41"/>
    </row>
    <row r="99" spans="1:9" x14ac:dyDescent="0.25">
      <c r="A99" s="40" t="s">
        <v>254</v>
      </c>
      <c r="B99" s="40" t="s">
        <v>67</v>
      </c>
      <c r="C99" s="40">
        <v>600</v>
      </c>
      <c r="D99" s="40">
        <v>2</v>
      </c>
      <c r="E99" s="40" t="s">
        <v>68</v>
      </c>
      <c r="F99" s="6"/>
      <c r="G99" s="6"/>
      <c r="H99" s="6"/>
      <c r="I99" s="41"/>
    </row>
    <row r="100" spans="1:9" x14ac:dyDescent="0.25">
      <c r="A100" s="40" t="s">
        <v>255</v>
      </c>
      <c r="B100" s="40" t="s">
        <v>67</v>
      </c>
      <c r="C100" s="40">
        <v>600</v>
      </c>
      <c r="D100" s="40">
        <v>3</v>
      </c>
      <c r="E100" s="40" t="s">
        <v>68</v>
      </c>
      <c r="F100" s="6"/>
      <c r="G100" s="6"/>
      <c r="H100" s="6"/>
      <c r="I100" s="41"/>
    </row>
    <row r="101" spans="1:9" x14ac:dyDescent="0.25">
      <c r="A101" s="40" t="s">
        <v>256</v>
      </c>
      <c r="B101" s="40" t="s">
        <v>69</v>
      </c>
      <c r="C101" s="40">
        <v>600</v>
      </c>
      <c r="D101" s="40">
        <v>1</v>
      </c>
      <c r="E101" s="40" t="s">
        <v>68</v>
      </c>
      <c r="F101" s="6"/>
      <c r="G101" s="6"/>
      <c r="H101" s="6"/>
      <c r="I101" s="41"/>
    </row>
    <row r="102" spans="1:9" x14ac:dyDescent="0.25">
      <c r="A102" s="42" t="s">
        <v>257</v>
      </c>
      <c r="B102" s="42" t="s">
        <v>69</v>
      </c>
      <c r="C102" s="42">
        <v>600</v>
      </c>
      <c r="D102" s="42">
        <v>2</v>
      </c>
      <c r="E102" s="42" t="s">
        <v>68</v>
      </c>
      <c r="F102" s="6"/>
      <c r="G102" s="6"/>
      <c r="H102" s="6"/>
      <c r="I102" s="41"/>
    </row>
    <row r="103" spans="1:9" x14ac:dyDescent="0.25">
      <c r="A103" s="42" t="s">
        <v>258</v>
      </c>
      <c r="B103" s="42" t="s">
        <v>69</v>
      </c>
      <c r="C103" s="42">
        <v>600</v>
      </c>
      <c r="D103" s="42">
        <v>3</v>
      </c>
      <c r="E103" s="42" t="s">
        <v>68</v>
      </c>
      <c r="F103" s="6"/>
      <c r="G103" s="6"/>
      <c r="H103" s="6"/>
      <c r="I103" s="41"/>
    </row>
    <row r="104" spans="1:9" x14ac:dyDescent="0.25">
      <c r="A104" s="42" t="s">
        <v>259</v>
      </c>
      <c r="B104" s="42" t="s">
        <v>70</v>
      </c>
      <c r="C104" s="42">
        <v>600</v>
      </c>
      <c r="D104" s="42">
        <v>1</v>
      </c>
      <c r="E104" s="42" t="s">
        <v>71</v>
      </c>
      <c r="F104" s="6"/>
      <c r="G104" s="6"/>
      <c r="H104" s="6"/>
      <c r="I104" s="41"/>
    </row>
    <row r="105" spans="1:9" x14ac:dyDescent="0.25">
      <c r="A105" s="40" t="s">
        <v>260</v>
      </c>
      <c r="B105" s="40" t="s">
        <v>70</v>
      </c>
      <c r="C105" s="40">
        <v>600</v>
      </c>
      <c r="D105" s="40">
        <v>2</v>
      </c>
      <c r="E105" s="40" t="s">
        <v>71</v>
      </c>
      <c r="F105" s="6"/>
      <c r="G105" s="6"/>
      <c r="H105" s="6"/>
      <c r="I105" s="41"/>
    </row>
    <row r="106" spans="1:9" x14ac:dyDescent="0.25">
      <c r="A106" s="40" t="s">
        <v>261</v>
      </c>
      <c r="B106" s="40" t="s">
        <v>70</v>
      </c>
      <c r="C106" s="40">
        <v>600</v>
      </c>
      <c r="D106" s="40">
        <v>3</v>
      </c>
      <c r="E106" s="40" t="s">
        <v>71</v>
      </c>
      <c r="F106" s="6"/>
      <c r="G106" s="6"/>
      <c r="H106" s="6"/>
      <c r="I106" s="41"/>
    </row>
    <row r="107" spans="1:9" x14ac:dyDescent="0.25">
      <c r="A107" s="40" t="s">
        <v>262</v>
      </c>
      <c r="B107" s="40" t="s">
        <v>73</v>
      </c>
      <c r="C107" s="40">
        <v>600</v>
      </c>
      <c r="D107" s="40">
        <v>1</v>
      </c>
      <c r="E107" s="40" t="s">
        <v>68</v>
      </c>
      <c r="F107" s="6"/>
      <c r="G107" s="6"/>
      <c r="H107" s="6"/>
      <c r="I107" s="41"/>
    </row>
    <row r="108" spans="1:9" x14ac:dyDescent="0.25">
      <c r="A108" s="42" t="s">
        <v>263</v>
      </c>
      <c r="B108" s="42" t="s">
        <v>73</v>
      </c>
      <c r="C108" s="42">
        <v>600</v>
      </c>
      <c r="D108" s="42">
        <v>2</v>
      </c>
      <c r="E108" s="42" t="s">
        <v>68</v>
      </c>
      <c r="F108" s="6"/>
      <c r="G108" s="6"/>
      <c r="H108" s="6"/>
      <c r="I108" s="41"/>
    </row>
    <row r="109" spans="1:9" x14ac:dyDescent="0.25">
      <c r="A109" s="42" t="s">
        <v>264</v>
      </c>
      <c r="B109" s="42" t="s">
        <v>73</v>
      </c>
      <c r="C109" s="42">
        <v>600</v>
      </c>
      <c r="D109" s="42">
        <v>3</v>
      </c>
      <c r="E109" s="42" t="s">
        <v>68</v>
      </c>
      <c r="F109" s="6"/>
      <c r="G109" s="6"/>
      <c r="H109" s="6"/>
      <c r="I109" s="41"/>
    </row>
    <row r="110" spans="1:9" x14ac:dyDescent="0.25">
      <c r="A110" s="42" t="s">
        <v>265</v>
      </c>
      <c r="B110" s="42" t="s">
        <v>74</v>
      </c>
      <c r="C110" s="42">
        <v>600</v>
      </c>
      <c r="D110" s="42">
        <v>1</v>
      </c>
      <c r="E110" s="42" t="s">
        <v>68</v>
      </c>
      <c r="F110" s="6"/>
      <c r="G110" s="6"/>
      <c r="H110" s="6"/>
      <c r="I110" s="41"/>
    </row>
    <row r="111" spans="1:9" x14ac:dyDescent="0.25">
      <c r="A111" s="40" t="s">
        <v>266</v>
      </c>
      <c r="B111" s="40" t="s">
        <v>74</v>
      </c>
      <c r="C111" s="40">
        <v>600</v>
      </c>
      <c r="D111" s="40">
        <v>2</v>
      </c>
      <c r="E111" s="40" t="s">
        <v>68</v>
      </c>
      <c r="F111" s="6"/>
      <c r="G111" s="6"/>
      <c r="H111" s="6"/>
      <c r="I111" s="41"/>
    </row>
    <row r="112" spans="1:9" x14ac:dyDescent="0.25">
      <c r="A112" s="40" t="s">
        <v>267</v>
      </c>
      <c r="B112" s="40" t="s">
        <v>74</v>
      </c>
      <c r="C112" s="40">
        <v>600</v>
      </c>
      <c r="D112" s="40">
        <v>3</v>
      </c>
      <c r="E112" s="40" t="s">
        <v>68</v>
      </c>
      <c r="F112" s="6"/>
      <c r="G112" s="6"/>
      <c r="H112" s="6"/>
      <c r="I112" s="41"/>
    </row>
    <row r="113" spans="1:9" x14ac:dyDescent="0.25">
      <c r="A113" s="40" t="s">
        <v>268</v>
      </c>
      <c r="B113" s="40" t="s">
        <v>48</v>
      </c>
      <c r="C113" s="40">
        <v>800</v>
      </c>
      <c r="D113" s="40">
        <v>1</v>
      </c>
      <c r="E113" s="40" t="s">
        <v>50</v>
      </c>
      <c r="F113" s="6"/>
      <c r="G113" s="6"/>
      <c r="H113" s="6"/>
      <c r="I113" s="41"/>
    </row>
    <row r="114" spans="1:9" x14ac:dyDescent="0.25">
      <c r="A114" s="42" t="s">
        <v>269</v>
      </c>
      <c r="B114" s="42" t="s">
        <v>48</v>
      </c>
      <c r="C114" s="42">
        <v>800</v>
      </c>
      <c r="D114" s="42">
        <v>2</v>
      </c>
      <c r="E114" s="42" t="s">
        <v>50</v>
      </c>
      <c r="F114" s="6"/>
      <c r="G114" s="6"/>
      <c r="H114" s="6"/>
      <c r="I114" s="41"/>
    </row>
    <row r="115" spans="1:9" x14ac:dyDescent="0.25">
      <c r="A115" s="42" t="s">
        <v>270</v>
      </c>
      <c r="B115" s="42" t="s">
        <v>48</v>
      </c>
      <c r="C115" s="42">
        <v>800</v>
      </c>
      <c r="D115" s="42">
        <v>3</v>
      </c>
      <c r="E115" s="42" t="s">
        <v>50</v>
      </c>
      <c r="F115" s="6"/>
      <c r="G115" s="6"/>
      <c r="H115" s="6"/>
      <c r="I115" s="41"/>
    </row>
    <row r="116" spans="1:9" x14ac:dyDescent="0.25">
      <c r="A116" s="42" t="s">
        <v>271</v>
      </c>
      <c r="B116" s="42" t="s">
        <v>52</v>
      </c>
      <c r="C116" s="42">
        <v>800</v>
      </c>
      <c r="D116" s="42">
        <v>1</v>
      </c>
      <c r="E116" s="42" t="s">
        <v>53</v>
      </c>
      <c r="F116" s="6"/>
      <c r="G116" s="6"/>
      <c r="H116" s="6"/>
      <c r="I116" s="41"/>
    </row>
    <row r="117" spans="1:9" x14ac:dyDescent="0.25">
      <c r="A117" s="40" t="s">
        <v>272</v>
      </c>
      <c r="B117" s="40" t="s">
        <v>52</v>
      </c>
      <c r="C117" s="40">
        <v>800</v>
      </c>
      <c r="D117" s="40">
        <v>2</v>
      </c>
      <c r="E117" s="40" t="s">
        <v>53</v>
      </c>
      <c r="F117" s="6"/>
      <c r="G117" s="6"/>
      <c r="H117" s="6"/>
      <c r="I117" s="41"/>
    </row>
    <row r="118" spans="1:9" x14ac:dyDescent="0.25">
      <c r="A118" s="40" t="s">
        <v>273</v>
      </c>
      <c r="B118" s="40" t="s">
        <v>52</v>
      </c>
      <c r="C118" s="40">
        <v>800</v>
      </c>
      <c r="D118" s="40">
        <v>3</v>
      </c>
      <c r="E118" s="40" t="s">
        <v>53</v>
      </c>
      <c r="F118" s="6"/>
      <c r="G118" s="6"/>
      <c r="H118" s="6"/>
      <c r="I118" s="41"/>
    </row>
    <row r="119" spans="1:9" x14ac:dyDescent="0.25">
      <c r="A119" s="40" t="s">
        <v>274</v>
      </c>
      <c r="B119" s="40" t="s">
        <v>55</v>
      </c>
      <c r="C119" s="40">
        <v>800</v>
      </c>
      <c r="D119" s="40">
        <v>1</v>
      </c>
      <c r="E119" s="40" t="s">
        <v>53</v>
      </c>
      <c r="F119" s="6"/>
      <c r="G119" s="6"/>
      <c r="H119" s="6"/>
      <c r="I119" s="41"/>
    </row>
    <row r="120" spans="1:9" x14ac:dyDescent="0.25">
      <c r="A120" s="42" t="s">
        <v>275</v>
      </c>
      <c r="B120" s="42" t="s">
        <v>55</v>
      </c>
      <c r="C120" s="42">
        <v>800</v>
      </c>
      <c r="D120" s="42">
        <v>2</v>
      </c>
      <c r="E120" s="42" t="s">
        <v>53</v>
      </c>
      <c r="F120" s="6"/>
      <c r="G120" s="6"/>
      <c r="H120" s="6"/>
      <c r="I120" s="41"/>
    </row>
    <row r="121" spans="1:9" x14ac:dyDescent="0.25">
      <c r="A121" s="42" t="s">
        <v>276</v>
      </c>
      <c r="B121" s="42" t="s">
        <v>55</v>
      </c>
      <c r="C121" s="42">
        <v>800</v>
      </c>
      <c r="D121" s="42">
        <v>3</v>
      </c>
      <c r="E121" s="42" t="s">
        <v>53</v>
      </c>
      <c r="F121" s="6"/>
      <c r="G121" s="6"/>
      <c r="H121" s="6"/>
      <c r="I121" s="41"/>
    </row>
    <row r="122" spans="1:9" x14ac:dyDescent="0.25">
      <c r="A122" s="42" t="s">
        <v>277</v>
      </c>
      <c r="B122" s="42" t="s">
        <v>57</v>
      </c>
      <c r="C122" s="42">
        <v>800</v>
      </c>
      <c r="D122" s="42">
        <v>1</v>
      </c>
      <c r="E122" s="42" t="s">
        <v>53</v>
      </c>
      <c r="F122" s="6"/>
      <c r="G122" s="6"/>
      <c r="H122" s="6"/>
      <c r="I122" s="41"/>
    </row>
    <row r="123" spans="1:9" x14ac:dyDescent="0.25">
      <c r="A123" s="40" t="s">
        <v>278</v>
      </c>
      <c r="B123" s="40" t="s">
        <v>57</v>
      </c>
      <c r="C123" s="40">
        <v>800</v>
      </c>
      <c r="D123" s="40">
        <v>2</v>
      </c>
      <c r="E123" s="40" t="s">
        <v>53</v>
      </c>
      <c r="F123" s="6"/>
      <c r="G123" s="6"/>
      <c r="H123" s="6"/>
      <c r="I123" s="41"/>
    </row>
    <row r="124" spans="1:9" x14ac:dyDescent="0.25">
      <c r="A124" s="40" t="s">
        <v>279</v>
      </c>
      <c r="B124" s="40" t="s">
        <v>57</v>
      </c>
      <c r="C124" s="40">
        <v>800</v>
      </c>
      <c r="D124" s="40">
        <v>3</v>
      </c>
      <c r="E124" s="40" t="s">
        <v>53</v>
      </c>
      <c r="F124" s="6"/>
      <c r="G124" s="6"/>
      <c r="H124" s="6"/>
      <c r="I124" s="41"/>
    </row>
    <row r="125" spans="1:9" x14ac:dyDescent="0.25">
      <c r="A125" s="40" t="s">
        <v>280</v>
      </c>
      <c r="B125" s="40" t="s">
        <v>59</v>
      </c>
      <c r="C125" s="40">
        <v>800</v>
      </c>
      <c r="D125" s="40">
        <v>1</v>
      </c>
      <c r="E125" s="40" t="s">
        <v>53</v>
      </c>
      <c r="F125" s="6"/>
      <c r="G125" s="6"/>
      <c r="H125" s="6"/>
      <c r="I125" s="41"/>
    </row>
    <row r="126" spans="1:9" x14ac:dyDescent="0.25">
      <c r="A126" s="42" t="s">
        <v>281</v>
      </c>
      <c r="B126" s="42" t="s">
        <v>59</v>
      </c>
      <c r="C126" s="42">
        <v>800</v>
      </c>
      <c r="D126" s="42">
        <v>2</v>
      </c>
      <c r="E126" s="42" t="s">
        <v>53</v>
      </c>
      <c r="F126" s="6"/>
      <c r="G126" s="6"/>
      <c r="H126" s="6"/>
      <c r="I126" s="41"/>
    </row>
    <row r="127" spans="1:9" x14ac:dyDescent="0.25">
      <c r="A127" s="42" t="s">
        <v>282</v>
      </c>
      <c r="B127" s="42" t="s">
        <v>59</v>
      </c>
      <c r="C127" s="42">
        <v>800</v>
      </c>
      <c r="D127" s="42">
        <v>3</v>
      </c>
      <c r="E127" s="42" t="s">
        <v>53</v>
      </c>
      <c r="F127" s="6"/>
      <c r="G127" s="6"/>
      <c r="H127" s="6"/>
      <c r="I127" s="41"/>
    </row>
    <row r="128" spans="1:9" x14ac:dyDescent="0.25">
      <c r="A128" s="42" t="s">
        <v>283</v>
      </c>
      <c r="B128" s="42" t="s">
        <v>61</v>
      </c>
      <c r="C128" s="42">
        <v>800</v>
      </c>
      <c r="D128" s="42">
        <v>1</v>
      </c>
      <c r="E128" s="42" t="s">
        <v>53</v>
      </c>
      <c r="F128" s="6"/>
      <c r="G128" s="6"/>
      <c r="H128" s="6"/>
      <c r="I128" s="41"/>
    </row>
    <row r="129" spans="1:9" x14ac:dyDescent="0.25">
      <c r="A129" s="40" t="s">
        <v>284</v>
      </c>
      <c r="B129" s="40" t="s">
        <v>61</v>
      </c>
      <c r="C129" s="40">
        <v>800</v>
      </c>
      <c r="D129" s="40">
        <v>2</v>
      </c>
      <c r="E129" s="40" t="s">
        <v>53</v>
      </c>
      <c r="F129" s="6"/>
      <c r="G129" s="6"/>
      <c r="H129" s="6"/>
      <c r="I129" s="41"/>
    </row>
    <row r="130" spans="1:9" x14ac:dyDescent="0.25">
      <c r="A130" s="40" t="s">
        <v>285</v>
      </c>
      <c r="B130" s="40" t="s">
        <v>61</v>
      </c>
      <c r="C130" s="40">
        <v>800</v>
      </c>
      <c r="D130" s="40">
        <v>3</v>
      </c>
      <c r="E130" s="40" t="s">
        <v>53</v>
      </c>
      <c r="F130" s="6"/>
      <c r="G130" s="6"/>
      <c r="H130" s="6"/>
      <c r="I130" s="41"/>
    </row>
    <row r="131" spans="1:9" x14ac:dyDescent="0.25">
      <c r="A131" s="40" t="s">
        <v>286</v>
      </c>
      <c r="B131" s="40" t="s">
        <v>63</v>
      </c>
      <c r="C131" s="40">
        <v>800</v>
      </c>
      <c r="D131" s="40">
        <v>1</v>
      </c>
      <c r="E131" s="40" t="s">
        <v>65</v>
      </c>
      <c r="F131" s="6"/>
      <c r="G131" s="6"/>
      <c r="H131" s="6"/>
      <c r="I131" s="41"/>
    </row>
    <row r="132" spans="1:9" x14ac:dyDescent="0.25">
      <c r="A132" s="42" t="s">
        <v>287</v>
      </c>
      <c r="B132" s="42" t="s">
        <v>63</v>
      </c>
      <c r="C132" s="42">
        <v>800</v>
      </c>
      <c r="D132" s="42">
        <v>2</v>
      </c>
      <c r="E132" s="42" t="s">
        <v>65</v>
      </c>
      <c r="F132" s="6"/>
      <c r="G132" s="6"/>
      <c r="H132" s="6"/>
      <c r="I132" s="41"/>
    </row>
    <row r="133" spans="1:9" x14ac:dyDescent="0.25">
      <c r="A133" s="42" t="s">
        <v>288</v>
      </c>
      <c r="B133" s="42" t="s">
        <v>63</v>
      </c>
      <c r="C133" s="42">
        <v>800</v>
      </c>
      <c r="D133" s="42">
        <v>3</v>
      </c>
      <c r="E133" s="42" t="s">
        <v>65</v>
      </c>
      <c r="F133" s="6"/>
      <c r="G133" s="6"/>
      <c r="H133" s="6"/>
      <c r="I133" s="41"/>
    </row>
    <row r="134" spans="1:9" x14ac:dyDescent="0.25">
      <c r="A134" s="42" t="s">
        <v>289</v>
      </c>
      <c r="B134" s="42" t="s">
        <v>67</v>
      </c>
      <c r="C134" s="42">
        <v>800</v>
      </c>
      <c r="D134" s="42">
        <v>1</v>
      </c>
      <c r="E134" s="42" t="s">
        <v>68</v>
      </c>
      <c r="F134" s="6"/>
      <c r="G134" s="6"/>
      <c r="H134" s="6"/>
      <c r="I134" s="41"/>
    </row>
    <row r="135" spans="1:9" x14ac:dyDescent="0.25">
      <c r="A135" s="40" t="s">
        <v>290</v>
      </c>
      <c r="B135" s="40" t="s">
        <v>67</v>
      </c>
      <c r="C135" s="40">
        <v>800</v>
      </c>
      <c r="D135" s="40">
        <v>2</v>
      </c>
      <c r="E135" s="40" t="s">
        <v>68</v>
      </c>
      <c r="F135" s="6"/>
      <c r="G135" s="6"/>
      <c r="H135" s="6"/>
      <c r="I135" s="41"/>
    </row>
    <row r="136" spans="1:9" x14ac:dyDescent="0.25">
      <c r="A136" s="40" t="s">
        <v>291</v>
      </c>
      <c r="B136" s="40" t="s">
        <v>67</v>
      </c>
      <c r="C136" s="40">
        <v>800</v>
      </c>
      <c r="D136" s="40">
        <v>3</v>
      </c>
      <c r="E136" s="40" t="s">
        <v>68</v>
      </c>
      <c r="F136" s="6"/>
      <c r="G136" s="6"/>
      <c r="H136" s="6"/>
      <c r="I136" s="41"/>
    </row>
    <row r="137" spans="1:9" x14ac:dyDescent="0.25">
      <c r="A137" s="40" t="s">
        <v>292</v>
      </c>
      <c r="B137" s="40" t="s">
        <v>69</v>
      </c>
      <c r="C137" s="40">
        <v>800</v>
      </c>
      <c r="D137" s="40">
        <v>1</v>
      </c>
      <c r="E137" s="40" t="s">
        <v>68</v>
      </c>
      <c r="F137" s="6"/>
      <c r="G137" s="6"/>
      <c r="H137" s="6"/>
      <c r="I137" s="41"/>
    </row>
    <row r="138" spans="1:9" x14ac:dyDescent="0.25">
      <c r="A138" s="42" t="s">
        <v>293</v>
      </c>
      <c r="B138" s="42" t="s">
        <v>69</v>
      </c>
      <c r="C138" s="42">
        <v>800</v>
      </c>
      <c r="D138" s="42">
        <v>2</v>
      </c>
      <c r="E138" s="42" t="s">
        <v>68</v>
      </c>
      <c r="F138" s="6"/>
      <c r="G138" s="6"/>
      <c r="H138" s="6"/>
      <c r="I138" s="41"/>
    </row>
    <row r="139" spans="1:9" x14ac:dyDescent="0.25">
      <c r="A139" s="42" t="s">
        <v>294</v>
      </c>
      <c r="B139" s="42" t="s">
        <v>69</v>
      </c>
      <c r="C139" s="42">
        <v>800</v>
      </c>
      <c r="D139" s="42">
        <v>3</v>
      </c>
      <c r="E139" s="42" t="s">
        <v>68</v>
      </c>
      <c r="F139" s="6"/>
      <c r="G139" s="6"/>
      <c r="H139" s="6"/>
      <c r="I139" s="41"/>
    </row>
    <row r="140" spans="1:9" x14ac:dyDescent="0.25">
      <c r="A140" s="42" t="s">
        <v>295</v>
      </c>
      <c r="B140" s="42" t="s">
        <v>70</v>
      </c>
      <c r="C140" s="42">
        <v>800</v>
      </c>
      <c r="D140" s="42">
        <v>1</v>
      </c>
      <c r="E140" s="42" t="s">
        <v>71</v>
      </c>
      <c r="F140" s="6"/>
      <c r="G140" s="6"/>
      <c r="H140" s="6"/>
      <c r="I140" s="41"/>
    </row>
    <row r="141" spans="1:9" x14ac:dyDescent="0.25">
      <c r="A141" s="40" t="s">
        <v>296</v>
      </c>
      <c r="B141" s="40" t="s">
        <v>70</v>
      </c>
      <c r="C141" s="40">
        <v>800</v>
      </c>
      <c r="D141" s="40">
        <v>2</v>
      </c>
      <c r="E141" s="40" t="s">
        <v>71</v>
      </c>
      <c r="F141" s="6"/>
      <c r="G141" s="6"/>
      <c r="H141" s="6"/>
      <c r="I141" s="41"/>
    </row>
    <row r="142" spans="1:9" x14ac:dyDescent="0.25">
      <c r="A142" s="40" t="s">
        <v>297</v>
      </c>
      <c r="B142" s="40" t="s">
        <v>70</v>
      </c>
      <c r="C142" s="40">
        <v>800</v>
      </c>
      <c r="D142" s="40">
        <v>3</v>
      </c>
      <c r="E142" s="40" t="s">
        <v>71</v>
      </c>
      <c r="F142" s="6"/>
      <c r="G142" s="6"/>
      <c r="H142" s="6"/>
      <c r="I142" s="41"/>
    </row>
    <row r="143" spans="1:9" x14ac:dyDescent="0.25">
      <c r="A143" s="40" t="s">
        <v>298</v>
      </c>
      <c r="B143" s="40" t="s">
        <v>73</v>
      </c>
      <c r="C143" s="40">
        <v>800</v>
      </c>
      <c r="D143" s="40">
        <v>1</v>
      </c>
      <c r="E143" s="40" t="s">
        <v>68</v>
      </c>
      <c r="F143" s="6"/>
      <c r="G143" s="6"/>
      <c r="H143" s="6"/>
      <c r="I143" s="41"/>
    </row>
    <row r="144" spans="1:9" x14ac:dyDescent="0.25">
      <c r="A144" s="42" t="s">
        <v>299</v>
      </c>
      <c r="B144" s="42" t="s">
        <v>73</v>
      </c>
      <c r="C144" s="42">
        <v>800</v>
      </c>
      <c r="D144" s="42">
        <v>2</v>
      </c>
      <c r="E144" s="42" t="s">
        <v>68</v>
      </c>
      <c r="F144" s="6"/>
      <c r="G144" s="6"/>
      <c r="H144" s="6"/>
      <c r="I144" s="41"/>
    </row>
    <row r="145" spans="1:9" x14ac:dyDescent="0.25">
      <c r="A145" s="42" t="s">
        <v>300</v>
      </c>
      <c r="B145" s="42" t="s">
        <v>73</v>
      </c>
      <c r="C145" s="42">
        <v>800</v>
      </c>
      <c r="D145" s="42">
        <v>3</v>
      </c>
      <c r="E145" s="42" t="s">
        <v>68</v>
      </c>
      <c r="F145" s="6"/>
      <c r="G145" s="6"/>
      <c r="H145" s="6"/>
      <c r="I145" s="41"/>
    </row>
    <row r="146" spans="1:9" x14ac:dyDescent="0.25">
      <c r="A146" s="42" t="s">
        <v>301</v>
      </c>
      <c r="B146" s="42" t="s">
        <v>74</v>
      </c>
      <c r="C146" s="42">
        <v>800</v>
      </c>
      <c r="D146" s="42">
        <v>1</v>
      </c>
      <c r="E146" s="42" t="s">
        <v>68</v>
      </c>
      <c r="F146" s="6"/>
      <c r="G146" s="6"/>
      <c r="H146" s="6"/>
      <c r="I146" s="41"/>
    </row>
    <row r="147" spans="1:9" x14ac:dyDescent="0.25">
      <c r="A147" s="40" t="s">
        <v>302</v>
      </c>
      <c r="B147" s="40" t="s">
        <v>74</v>
      </c>
      <c r="C147" s="40">
        <v>800</v>
      </c>
      <c r="D147" s="40">
        <v>2</v>
      </c>
      <c r="E147" s="40" t="s">
        <v>68</v>
      </c>
      <c r="F147" s="6"/>
      <c r="G147" s="6"/>
      <c r="H147" s="6"/>
      <c r="I147" s="41"/>
    </row>
    <row r="148" spans="1:9" x14ac:dyDescent="0.25">
      <c r="A148" s="40" t="s">
        <v>303</v>
      </c>
      <c r="B148" s="40" t="s">
        <v>74</v>
      </c>
      <c r="C148" s="40">
        <v>800</v>
      </c>
      <c r="D148" s="40">
        <v>3</v>
      </c>
      <c r="E148" s="40" t="s">
        <v>68</v>
      </c>
      <c r="F148" s="6"/>
      <c r="G148" s="6"/>
      <c r="H148" s="6"/>
      <c r="I148" s="41"/>
    </row>
  </sheetData>
  <mergeCells count="1">
    <mergeCell ref="A1:I1"/>
  </mergeCells>
  <dataValidations count="2">
    <dataValidation type="list" allowBlank="1" sqref="G5:G148" xr:uid="{00000000-0002-0000-0600-000000000000}">
      <formula1>"None,Minor,Major"</formula1>
      <formula2>0</formula2>
    </dataValidation>
    <dataValidation type="list" allowBlank="1" sqref="H5:H148" xr:uid="{00000000-0002-0000-0600-000001000000}">
      <formula1>"None,Partial,Severe"</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0"/>
  <sheetViews>
    <sheetView zoomScaleNormal="100" workbookViewId="0">
      <selection activeCell="B14" sqref="B14"/>
    </sheetView>
  </sheetViews>
  <sheetFormatPr defaultColWidth="8.6640625" defaultRowHeight="13.8" x14ac:dyDescent="0.25"/>
  <cols>
    <col min="1" max="1" width="12" style="2" customWidth="1"/>
    <col min="2" max="2" width="22" style="2" customWidth="1"/>
    <col min="3" max="3" width="26" style="2" customWidth="1"/>
    <col min="4" max="4" width="111.21875" style="2" bestFit="1" customWidth="1"/>
    <col min="5" max="5" width="18" style="2" customWidth="1"/>
    <col min="6" max="6" width="16" style="2" customWidth="1"/>
    <col min="7" max="16384" width="8.6640625" style="2"/>
  </cols>
  <sheetData>
    <row r="1" spans="1:6" ht="17.399999999999999" x14ac:dyDescent="0.3">
      <c r="A1" s="50" t="s">
        <v>304</v>
      </c>
      <c r="B1" s="50"/>
      <c r="C1" s="50"/>
      <c r="D1" s="50"/>
      <c r="E1" s="50"/>
      <c r="F1" s="50"/>
    </row>
    <row r="3" spans="1:6" ht="24" customHeight="1" x14ac:dyDescent="0.25">
      <c r="A3" s="43" t="s">
        <v>305</v>
      </c>
      <c r="B3" s="43" t="s">
        <v>306</v>
      </c>
      <c r="C3" s="43" t="s">
        <v>307</v>
      </c>
      <c r="D3" s="43" t="s">
        <v>308</v>
      </c>
      <c r="E3" s="43" t="s">
        <v>309</v>
      </c>
      <c r="F3" s="43" t="s">
        <v>310</v>
      </c>
    </row>
    <row r="4" spans="1:6" x14ac:dyDescent="0.25">
      <c r="A4" s="42" t="s">
        <v>311</v>
      </c>
      <c r="B4" s="42" t="s">
        <v>312</v>
      </c>
      <c r="C4" s="42" t="s">
        <v>313</v>
      </c>
      <c r="D4" s="44" t="s">
        <v>314</v>
      </c>
      <c r="E4" s="42" t="s">
        <v>315</v>
      </c>
      <c r="F4" s="45"/>
    </row>
    <row r="5" spans="1:6" x14ac:dyDescent="0.25">
      <c r="A5" s="40" t="s">
        <v>311</v>
      </c>
      <c r="B5" s="40" t="s">
        <v>316</v>
      </c>
      <c r="C5" s="40" t="s">
        <v>313</v>
      </c>
      <c r="D5" s="46" t="s">
        <v>317</v>
      </c>
      <c r="E5" s="40" t="s">
        <v>315</v>
      </c>
      <c r="F5" s="45"/>
    </row>
    <row r="6" spans="1:6" x14ac:dyDescent="0.25">
      <c r="A6" s="42" t="s">
        <v>318</v>
      </c>
      <c r="B6" s="42" t="s">
        <v>319</v>
      </c>
      <c r="C6" s="42" t="s">
        <v>313</v>
      </c>
      <c r="D6" s="44" t="s">
        <v>320</v>
      </c>
      <c r="E6" s="42" t="s">
        <v>315</v>
      </c>
      <c r="F6" s="45"/>
    </row>
    <row r="7" spans="1:6" x14ac:dyDescent="0.25">
      <c r="A7" s="40" t="s">
        <v>321</v>
      </c>
      <c r="B7" s="40" t="s">
        <v>322</v>
      </c>
      <c r="C7" s="40" t="s">
        <v>313</v>
      </c>
      <c r="D7" s="46" t="s">
        <v>323</v>
      </c>
      <c r="E7" s="40" t="s">
        <v>315</v>
      </c>
      <c r="F7" s="45"/>
    </row>
    <row r="10" spans="1:6" x14ac:dyDescent="0.25">
      <c r="A10" s="16" t="s">
        <v>324</v>
      </c>
    </row>
    <row r="11" spans="1:6" ht="15.6" x14ac:dyDescent="0.25">
      <c r="A11" s="47" t="s">
        <v>325</v>
      </c>
      <c r="B11" s="48" t="s">
        <v>326</v>
      </c>
      <c r="C11" s="55" t="s">
        <v>327</v>
      </c>
      <c r="D11" s="55"/>
      <c r="E11" s="55"/>
      <c r="F11" s="49" t="s">
        <v>328</v>
      </c>
    </row>
    <row r="12" spans="1:6" ht="15.6" x14ac:dyDescent="0.25">
      <c r="A12" s="47" t="s">
        <v>325</v>
      </c>
      <c r="B12" s="48" t="s">
        <v>329</v>
      </c>
      <c r="C12" s="55" t="s">
        <v>330</v>
      </c>
      <c r="D12" s="55"/>
      <c r="E12" s="55"/>
      <c r="F12" s="49" t="s">
        <v>328</v>
      </c>
    </row>
    <row r="13" spans="1:6" ht="15.6" x14ac:dyDescent="0.25">
      <c r="A13" s="47" t="s">
        <v>325</v>
      </c>
      <c r="B13" s="48" t="s">
        <v>331</v>
      </c>
      <c r="C13" s="55" t="s">
        <v>332</v>
      </c>
      <c r="D13" s="55"/>
      <c r="E13" s="55"/>
      <c r="F13" s="49" t="s">
        <v>328</v>
      </c>
    </row>
    <row r="14" spans="1:6" ht="15.6" x14ac:dyDescent="0.25">
      <c r="A14" s="47" t="s">
        <v>325</v>
      </c>
      <c r="B14" s="48" t="s">
        <v>333</v>
      </c>
      <c r="C14" s="55" t="s">
        <v>334</v>
      </c>
      <c r="D14" s="55"/>
      <c r="E14" s="55"/>
      <c r="F14" s="49" t="s">
        <v>328</v>
      </c>
    </row>
    <row r="15" spans="1:6" ht="15.6" x14ac:dyDescent="0.25">
      <c r="A15" s="47" t="s">
        <v>325</v>
      </c>
      <c r="B15" s="48" t="s">
        <v>335</v>
      </c>
      <c r="C15" s="55" t="s">
        <v>336</v>
      </c>
      <c r="D15" s="55"/>
      <c r="E15" s="55"/>
      <c r="F15" s="49" t="s">
        <v>328</v>
      </c>
    </row>
    <row r="16" spans="1:6" ht="15.6" x14ac:dyDescent="0.25">
      <c r="A16" s="47" t="s">
        <v>325</v>
      </c>
      <c r="B16" s="48" t="s">
        <v>337</v>
      </c>
      <c r="C16" s="55" t="s">
        <v>338</v>
      </c>
      <c r="D16" s="55"/>
      <c r="E16" s="55"/>
      <c r="F16" s="49" t="s">
        <v>328</v>
      </c>
    </row>
    <row r="17" spans="1:6" ht="15.6" x14ac:dyDescent="0.25">
      <c r="A17" s="47" t="s">
        <v>325</v>
      </c>
      <c r="B17" s="48" t="s">
        <v>339</v>
      </c>
      <c r="C17" s="55" t="s">
        <v>340</v>
      </c>
      <c r="D17" s="55"/>
      <c r="E17" s="55"/>
      <c r="F17" s="49" t="s">
        <v>328</v>
      </c>
    </row>
    <row r="18" spans="1:6" ht="15.6" x14ac:dyDescent="0.25">
      <c r="A18" s="47" t="s">
        <v>325</v>
      </c>
      <c r="B18" s="48" t="s">
        <v>341</v>
      </c>
      <c r="C18" s="55" t="s">
        <v>342</v>
      </c>
      <c r="D18" s="55"/>
      <c r="E18" s="55"/>
      <c r="F18" s="49" t="s">
        <v>328</v>
      </c>
    </row>
    <row r="19" spans="1:6" ht="15.6" x14ac:dyDescent="0.25">
      <c r="A19" s="47" t="s">
        <v>325</v>
      </c>
      <c r="B19" s="48" t="s">
        <v>343</v>
      </c>
      <c r="C19" s="55" t="s">
        <v>344</v>
      </c>
      <c r="D19" s="55"/>
      <c r="E19" s="55"/>
      <c r="F19" s="49" t="s">
        <v>328</v>
      </c>
    </row>
    <row r="20" spans="1:6" ht="15.6" x14ac:dyDescent="0.25">
      <c r="A20" s="47" t="s">
        <v>325</v>
      </c>
      <c r="B20" s="48" t="s">
        <v>345</v>
      </c>
      <c r="C20" s="55" t="s">
        <v>346</v>
      </c>
      <c r="D20" s="55"/>
      <c r="E20" s="55"/>
      <c r="F20" s="49" t="s">
        <v>328</v>
      </c>
    </row>
  </sheetData>
  <mergeCells count="11">
    <mergeCell ref="A1:F1"/>
    <mergeCell ref="C11:E11"/>
    <mergeCell ref="C12:E12"/>
    <mergeCell ref="C13:E13"/>
    <mergeCell ref="C14:E14"/>
    <mergeCell ref="C20:E20"/>
    <mergeCell ref="C15:E15"/>
    <mergeCell ref="C16:E16"/>
    <mergeCell ref="C17:E17"/>
    <mergeCell ref="C18:E18"/>
    <mergeCell ref="C19:E19"/>
  </mergeCells>
  <dataValidations count="1">
    <dataValidation type="list" allowBlank="1" sqref="F4:F7" xr:uid="{00000000-0002-0000-0700-000000000000}">
      <formula1>"Y,N"</formula1>
      <formula2>0</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0 - Instructions</vt:lpstr>
      <vt:lpstr>1 - Mix Reference</vt:lpstr>
      <vt:lpstr>2 - Raw Data Entry</vt:lpstr>
      <vt:lpstr>3 - Charts &amp; Curves</vt:lpstr>
      <vt:lpstr>4 - Residual Strength Summary</vt:lpstr>
      <vt:lpstr>5 - Mass Loss Summary</vt:lpstr>
      <vt:lpstr>6 - Visual Observations Log</vt:lpstr>
      <vt:lpstr>7 - Schedule &amp;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JAI .</cp:lastModifiedBy>
  <cp:revision>1</cp:revision>
  <dcterms:created xsi:type="dcterms:W3CDTF">2026-09-21T06:47:01Z</dcterms:created>
  <dcterms:modified xsi:type="dcterms:W3CDTF">2026-09-21T10:53:53Z</dcterms:modified>
  <dc:language>en-US</dc:language>
</cp:coreProperties>
</file>